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Guidelines" sheetId="1" state="visible" r:id="rId1"/>
    <sheet name="BATCH Abstract" sheetId="2" state="visible" r:id="rId2"/>
    <sheet name="Course Abstract" sheetId="3" state="visible" r:id="rId3"/>
    <sheet name="CO PO Mapping" sheetId="4" state="visible" r:id="rId4"/>
    <sheet name="Co-Po attainment Charts" sheetId="5" state="visible" r:id="rId5"/>
    <sheet name="CT1-3" sheetId="6" state="visible" r:id="rId6"/>
    <sheet name="CT4" sheetId="7" state="visible" r:id="rId7"/>
    <sheet name="UNIVERSITY EXAM" sheetId="8" state="visible" r:id="rId8"/>
    <sheet name="EoC Survey" sheetId="9" state="visible" r:id="rId9"/>
    <sheet name="Simplified" sheetId="10" state="visible" r:id="rId10"/>
    <sheet name="program outcomes"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29">
    <font>
      <name val="Arial"/>
      <color indexed="8"/>
      <sz val="10"/>
    </font>
    <font>
      <name val="Arial"/>
      <color indexed="8"/>
      <sz val="14"/>
    </font>
    <font>
      <name val="Arial"/>
      <b val="1"/>
      <color indexed="8"/>
      <sz val="14"/>
    </font>
    <font>
      <name val="Times New Roman"/>
      <b val="1"/>
      <color indexed="8"/>
      <sz val="12"/>
    </font>
    <font>
      <name val="Arial"/>
      <color indexed="8"/>
      <sz val="11"/>
    </font>
    <font>
      <name val="Calibri"/>
      <color indexed="8"/>
      <sz val="11"/>
    </font>
    <font>
      <name val="Arial"/>
      <b val="1"/>
      <color indexed="8"/>
      <sz val="11"/>
    </font>
    <font>
      <name val="Times New Roman"/>
      <b val="1"/>
      <color indexed="8"/>
      <sz val="11"/>
    </font>
    <font>
      <name val="Times New Roman"/>
      <color indexed="8"/>
      <sz val="12"/>
    </font>
    <font>
      <name val="Arial"/>
      <b val="1"/>
      <color indexed="8"/>
      <sz val="9"/>
    </font>
    <font>
      <name val="Times Roman"/>
      <b val="1"/>
      <color indexed="8"/>
      <sz val="8"/>
    </font>
    <font>
      <name val="Arial"/>
      <color indexed="8"/>
      <sz val="12"/>
    </font>
    <font>
      <name val="Arial"/>
      <b val="1"/>
      <color indexed="8"/>
      <sz val="10"/>
    </font>
    <font>
      <name val="Calibri"/>
      <b val="1"/>
      <color indexed="12"/>
      <sz val="11"/>
    </font>
    <font>
      <name val="Arial"/>
      <b val="1"/>
      <color indexed="8"/>
      <sz val="12"/>
    </font>
    <font>
      <name val="Times New Roman"/>
      <color indexed="8"/>
      <sz val="11"/>
    </font>
    <font>
      <name val="Times New Roman"/>
      <color indexed="16"/>
      <sz val="16"/>
    </font>
    <font>
      <name val="Arial"/>
      <color indexed="16"/>
      <sz val="16"/>
    </font>
    <font>
      <name val="Arial"/>
      <color indexed="18"/>
      <sz val="10"/>
    </font>
    <font>
      <name val="Times New Roman"/>
      <b val="1"/>
      <color indexed="8"/>
      <sz val="10"/>
    </font>
    <font>
      <name val="Calibri"/>
      <color indexed="8"/>
      <sz val="10"/>
    </font>
    <font>
      <name val="Calibri"/>
      <b val="1"/>
      <color indexed="8"/>
      <sz val="10"/>
    </font>
    <font>
      <name val="Arial"/>
      <b val="1"/>
      <color indexed="29"/>
      <sz val="11"/>
    </font>
    <font>
      <name val="Times Roman"/>
      <color indexed="8"/>
      <sz val="9"/>
    </font>
    <font>
      <name val="Times New Roman"/>
      <color indexed="8"/>
      <sz val="9"/>
    </font>
    <font>
      <name val="Arial"/>
      <color indexed="8"/>
      <sz val="10"/>
    </font>
    <font>
      <name val="Times New Roman"/>
      <b val="1"/>
      <sz val="10"/>
    </font>
    <font>
      <name val="Times New Roman"/>
      <sz val="10"/>
    </font>
    <font>
      <name val="Times New Roman"/>
      <b val="1"/>
      <sz val="12"/>
    </font>
  </fonts>
  <fills count="17">
    <fill>
      <patternFill/>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30"/>
        <bgColor auto="1"/>
      </patternFill>
    </fill>
    <fill>
      <patternFill patternType="solid">
        <fgColor rgb="FFC0C0C0"/>
        <bgColor rgb="FFC0C0C0"/>
      </patternFill>
    </fill>
    <fill>
      <patternFill patternType="solid">
        <fgColor rgb="FF92D050"/>
        <bgColor rgb="FF92D050"/>
      </patternFill>
    </fill>
    <fill>
      <patternFill patternType="solid">
        <fgColor rgb="FFFFC300"/>
        <bgColor rgb="FFFFC300"/>
      </patternFill>
    </fill>
    <fill>
      <patternFill patternType="solid">
        <fgColor rgb="FFFFFF00"/>
        <bgColor rgb="FFFFFF00"/>
      </patternFill>
    </fill>
    <fill>
      <patternFill patternType="solid">
        <fgColor rgb="0092D050"/>
      </patternFill>
    </fill>
    <fill>
      <patternFill patternType="solid">
        <fgColor rgb="00F0F0F0"/>
      </patternFill>
    </fill>
  </fills>
  <borders count="77">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bottom style="thin">
        <color indexed="8"/>
      </bottom>
      <diagonal/>
    </border>
    <border>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style="thin">
        <color indexed="10"/>
      </bottom>
      <diagonal/>
    </border>
    <border>
      <left style="thin">
        <color indexed="10"/>
      </left>
      <right style="thin">
        <color indexed="10"/>
      </right>
      <top/>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top/>
      <bottom style="thin">
        <color indexed="8"/>
      </bottom>
      <diagonal/>
    </border>
    <border>
      <left style="thin">
        <color indexed="10"/>
      </left>
      <right style="thin">
        <color indexed="8"/>
      </right>
      <top style="thin">
        <color indexed="10"/>
      </top>
      <bottom style="thin">
        <color indexed="8"/>
      </bottom>
      <diagonal/>
    </border>
    <border>
      <left style="thin">
        <color indexed="10"/>
      </left>
      <right/>
      <top style="thin">
        <color indexed="10"/>
      </top>
      <bottom style="thin">
        <color indexed="10"/>
      </bottom>
      <diagonal/>
    </border>
    <border>
      <left/>
      <right/>
      <top/>
      <bottom/>
      <diagonal/>
    </border>
    <border>
      <left style="thin">
        <color indexed="10"/>
      </left>
      <right/>
      <top style="thin">
        <color indexed="10"/>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thin">
        <color indexed="10"/>
      </bottom>
      <diagonal/>
    </border>
    <border>
      <left style="thin">
        <color indexed="8"/>
      </left>
      <right style="thin">
        <color indexed="10"/>
      </right>
      <top/>
      <bottom/>
      <diagonal/>
    </border>
    <border>
      <left style="thin">
        <color indexed="10"/>
      </left>
      <right/>
      <top style="thin">
        <color indexed="8"/>
      </top>
      <bottom style="thin">
        <color indexed="8"/>
      </bottom>
      <diagonal/>
    </border>
    <border>
      <left/>
      <right style="thin">
        <color indexed="10"/>
      </right>
      <top style="thick">
        <color indexed="29"/>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10"/>
      </top>
      <bottom style="thin">
        <color indexed="32"/>
      </bottom>
      <diagonal/>
    </border>
    <border>
      <left style="thin">
        <color indexed="8"/>
      </left>
      <right style="thin">
        <color indexed="10"/>
      </right>
      <top style="thin">
        <color indexed="32"/>
      </top>
      <bottom style="thin">
        <color indexed="32"/>
      </bottom>
      <diagonal/>
    </border>
    <border>
      <left style="thin">
        <color indexed="8"/>
      </left>
      <right style="thin">
        <color indexed="8"/>
      </right>
      <top style="thin">
        <color indexed="32"/>
      </top>
      <bottom style="thin">
        <color indexed="32"/>
      </bottom>
      <diagonal/>
    </border>
    <border>
      <left/>
      <right style="thin">
        <color indexed="10"/>
      </right>
      <top style="thin">
        <color indexed="32"/>
      </top>
      <bottom style="thin">
        <color indexed="32"/>
      </bottom>
      <diagonal/>
    </border>
    <border>
      <left style="thin">
        <color indexed="32"/>
      </left>
      <right style="thin">
        <color indexed="10"/>
      </right>
      <top style="thin">
        <color indexed="32"/>
      </top>
      <bottom style="thin">
        <color indexed="32"/>
      </bottom>
      <diagonal/>
    </border>
    <border>
      <left/>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10"/>
      </bottom>
      <diagonal/>
    </border>
    <border>
      <left/>
      <right/>
      <top style="thin">
        <color indexed="8"/>
      </top>
      <bottom style="thin">
        <color indexed="8"/>
      </bottom>
      <diagonal/>
    </border>
    <border>
      <left/>
      <right/>
      <top style="thin">
        <color indexed="10"/>
      </top>
      <bottom style="thin">
        <color indexed="8"/>
      </bottom>
      <diagonal/>
    </border>
    <border>
      <left style="thin">
        <color indexed="10"/>
      </left>
      <right style="thin">
        <color indexed="10"/>
      </right>
      <top/>
      <bottom style="thin">
        <color indexed="8"/>
      </bottom>
      <diagonal/>
    </border>
    <border>
      <left/>
      <right style="thin">
        <color indexed="10"/>
      </right>
      <top/>
      <bottom style="thin">
        <color indexed="8"/>
      </bottom>
      <diagonal/>
    </border>
    <border>
      <left/>
      <right style="thin">
        <color indexed="8"/>
      </right>
      <top style="thin">
        <color indexed="8"/>
      </top>
      <bottom style="thin">
        <color indexed="8"/>
      </bottom>
      <diagonal/>
    </border>
    <border>
      <left/>
      <right/>
      <top style="thin">
        <color indexed="8"/>
      </top>
      <bottom style="thin">
        <color indexed="10"/>
      </bottom>
      <diagonal/>
    </border>
    <border>
      <left style="thin">
        <color indexed="32"/>
      </left>
      <right style="thin">
        <color indexed="8"/>
      </right>
      <top style="thin">
        <color indexed="8"/>
      </top>
      <bottom style="thin">
        <color indexed="32"/>
      </bottom>
      <diagonal/>
    </border>
    <border>
      <left/>
      <right/>
      <top style="thin">
        <color indexed="8"/>
      </top>
      <bottom style="thin">
        <color indexed="32"/>
      </bottom>
      <diagonal/>
    </border>
    <border>
      <left/>
      <right style="thin">
        <color indexed="8"/>
      </right>
      <top style="thin">
        <color indexed="8"/>
      </top>
      <bottom style="thin">
        <color indexed="32"/>
      </bottom>
      <diagonal/>
    </border>
    <border>
      <left/>
      <right/>
      <top style="thin">
        <color indexed="32"/>
      </top>
      <bottom style="thin">
        <color indexed="32"/>
      </bottom>
      <diagonal/>
    </border>
    <border>
      <left style="thin">
        <color indexed="32"/>
      </left>
      <right style="thin">
        <color indexed="8"/>
      </right>
      <top style="thin">
        <color indexed="32"/>
      </top>
      <bottom style="thin">
        <color indexed="8"/>
      </bottom>
      <diagonal/>
    </border>
    <border>
      <left/>
      <right/>
      <top style="thin">
        <color indexed="32"/>
      </top>
      <bottom style="thin">
        <color indexed="8"/>
      </bottom>
      <diagonal/>
    </border>
    <border>
      <left/>
      <right style="thin">
        <color indexed="8"/>
      </right>
      <top style="thin">
        <color indexed="32"/>
      </top>
      <bottom style="thin">
        <color indexed="8"/>
      </bottom>
      <diagonal/>
    </border>
    <border>
      <left style="thin">
        <color rgb="FF000000"/>
      </left>
      <right style="thin">
        <color rgb="FF000000"/>
      </right>
      <top style="thin">
        <color rgb="FF000000"/>
      </top>
      <bottom style="thin">
        <color rgb="FF000000"/>
      </bottom>
      <diagonal/>
    </border>
    <border>
      <left/>
      <right/>
      <top style="thin">
        <color indexed="10"/>
      </top>
      <bottom/>
      <diagonal/>
    </border>
    <border>
      <left/>
      <right style="thin">
        <color indexed="10"/>
      </right>
      <top style="thin">
        <color indexed="10"/>
      </top>
      <bottom/>
      <diagonal/>
    </border>
    <border>
      <left/>
      <right style="thin">
        <color indexed="10"/>
      </right>
      <top style="thin">
        <color indexed="8"/>
      </top>
      <bottom/>
      <diagonal/>
    </border>
    <border>
      <left/>
      <right style="thin">
        <color indexed="8"/>
      </right>
      <top style="thin">
        <color indexed="8"/>
      </top>
      <bottom/>
      <diagonal/>
    </border>
    <border>
      <left/>
      <right style="thin">
        <color indexed="10"/>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32"/>
      </top>
      <bottom/>
      <diagonal/>
    </border>
    <border>
      <left/>
      <right style="thin">
        <color indexed="8"/>
      </right>
      <top style="thin">
        <color indexed="32"/>
      </top>
      <bottom/>
      <diagonal/>
    </border>
    <border>
      <left/>
      <right style="thin">
        <color indexed="10"/>
      </right>
      <top style="thin">
        <color indexed="32"/>
      </top>
      <bottom/>
      <diagonal/>
    </border>
    <border>
      <left/>
      <right/>
      <top style="thick">
        <color indexed="29"/>
      </top>
      <bottom/>
      <diagonal/>
    </border>
    <border>
      <left/>
      <right style="thin">
        <color indexed="10"/>
      </right>
      <top style="thick">
        <color indexed="29"/>
      </top>
      <bottom/>
      <diagonal/>
    </border>
    <border>
      <left style="thin"/>
      <right style="thin"/>
      <top style="thin"/>
      <bottom style="thin"/>
    </border>
  </borders>
  <cellStyleXfs count="2">
    <xf numFmtId="0" fontId="25" fillId="0" borderId="31"/>
    <xf numFmtId="0" fontId="25" fillId="0" borderId="31"/>
  </cellStyleXfs>
  <cellXfs count="284">
    <xf numFmtId="0" fontId="0" fillId="0" borderId="0" pivotButton="0" quotePrefix="0" xfId="0"/>
    <xf numFmtId="0" fontId="0" fillId="0" borderId="0" pivotButton="0" quotePrefix="0" xfId="0"/>
    <xf numFmtId="49" fontId="1" fillId="2" borderId="1" pivotButton="0" quotePrefix="0" xfId="0"/>
    <xf numFmtId="0" fontId="1" fillId="2" borderId="1" pivotButton="0" quotePrefix="0" xfId="0"/>
    <xf numFmtId="49" fontId="1" fillId="2" borderId="1" applyAlignment="1" pivotButton="0" quotePrefix="0" xfId="0">
      <alignment vertical="center"/>
    </xf>
    <xf numFmtId="0" fontId="1" fillId="2" borderId="1" applyAlignment="1" pivotButton="0" quotePrefix="0" xfId="0">
      <alignment vertical="center"/>
    </xf>
    <xf numFmtId="49" fontId="1" fillId="2" borderId="1" applyAlignment="1" pivotButton="0" quotePrefix="0" xfId="0">
      <alignment vertical="center" wrapText="1"/>
    </xf>
    <xf numFmtId="0" fontId="0" fillId="2" borderId="1" applyAlignment="1" pivotButton="0" quotePrefix="0" xfId="0">
      <alignment vertical="center"/>
    </xf>
    <xf numFmtId="0" fontId="4" fillId="2" borderId="1" applyAlignment="1" pivotButton="0" quotePrefix="0" xfId="0">
      <alignment vertical="center"/>
    </xf>
    <xf numFmtId="49" fontId="3" fillId="2" borderId="2" applyAlignment="1" pivotButton="0" quotePrefix="0" xfId="0">
      <alignment vertical="center"/>
    </xf>
    <xf numFmtId="0" fontId="3" fillId="2" borderId="1" applyAlignment="1" pivotButton="0" quotePrefix="0" xfId="0">
      <alignment vertical="center"/>
    </xf>
    <xf numFmtId="49" fontId="3" fillId="2" borderId="1" applyAlignment="1" pivotButton="0" quotePrefix="0" xfId="0">
      <alignment vertical="center"/>
    </xf>
    <xf numFmtId="0" fontId="3" fillId="2" borderId="3"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2" borderId="1"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horizontal="center" vertical="center" wrapText="1"/>
    </xf>
    <xf numFmtId="49" fontId="6" fillId="2" borderId="4" applyAlignment="1" pivotButton="0" quotePrefix="0" xfId="0">
      <alignment vertical="center"/>
    </xf>
    <xf numFmtId="0" fontId="4" fillId="2" borderId="4" applyAlignment="1" pivotButton="0" quotePrefix="0" xfId="0">
      <alignment horizontal="center" vertical="center"/>
    </xf>
    <xf numFmtId="0" fontId="4" fillId="2" borderId="4" applyAlignment="1" pivotButton="0" quotePrefix="0" xfId="0">
      <alignment vertical="center"/>
    </xf>
    <xf numFmtId="0" fontId="5" fillId="2" borderId="4" applyAlignment="1" pivotButton="0" quotePrefix="0" xfId="0">
      <alignment vertical="center" wrapText="1"/>
    </xf>
    <xf numFmtId="0" fontId="5" fillId="2" borderId="4" applyAlignment="1" pivotButton="0" quotePrefix="0" xfId="0">
      <alignment horizontal="center" vertical="center" wrapText="1"/>
    </xf>
    <xf numFmtId="49" fontId="6" fillId="2" borderId="5" applyAlignment="1" pivotButton="0" quotePrefix="0" xfId="0">
      <alignment horizontal="center" vertical="center" wrapText="1"/>
    </xf>
    <xf numFmtId="49" fontId="6" fillId="2" borderId="5" applyAlignment="1" pivotButton="0" quotePrefix="0" xfId="0">
      <alignment vertical="center" wrapText="1"/>
    </xf>
    <xf numFmtId="49" fontId="7" fillId="2" borderId="5" applyAlignment="1" pivotButton="0" quotePrefix="0" xfId="0">
      <alignment horizontal="center"/>
    </xf>
    <xf numFmtId="49" fontId="7" fillId="2" borderId="5" applyAlignment="1" pivotButton="0" quotePrefix="0" xfId="0">
      <alignment horizontal="center" vertical="center"/>
    </xf>
    <xf numFmtId="0" fontId="4" fillId="2" borderId="2" applyAlignment="1" pivotButton="0" quotePrefix="0" xfId="0">
      <alignment vertical="center"/>
    </xf>
    <xf numFmtId="49" fontId="8" fillId="2" borderId="5" applyAlignment="1" pivotButton="0" quotePrefix="0" xfId="0">
      <alignment horizontal="center" vertical="center" wrapText="1"/>
    </xf>
    <xf numFmtId="0" fontId="9" fillId="2" borderId="5" applyAlignment="1" pivotButton="0" quotePrefix="0" xfId="0">
      <alignment horizontal="center" vertical="center"/>
    </xf>
    <xf numFmtId="0" fontId="9" fillId="2" borderId="5" applyAlignment="1" pivotButton="0" quotePrefix="0" xfId="0">
      <alignment vertical="center"/>
    </xf>
    <xf numFmtId="0" fontId="4" fillId="2" borderId="5" applyAlignment="1" pivotButton="0" quotePrefix="0" xfId="0">
      <alignment vertical="center"/>
    </xf>
    <xf numFmtId="0" fontId="5" fillId="2" borderId="5" applyAlignment="1" pivotButton="0" quotePrefix="0" xfId="0">
      <alignment vertical="center" wrapText="1"/>
    </xf>
    <xf numFmtId="0" fontId="4" fillId="2" borderId="5" applyAlignment="1" pivotButton="0" quotePrefix="0" xfId="0">
      <alignment horizontal="center" vertical="center"/>
    </xf>
    <xf numFmtId="49" fontId="4" fillId="2" borderId="5" applyAlignment="1" pivotButton="0" quotePrefix="0" xfId="0">
      <alignment horizontal="center" vertical="center"/>
    </xf>
    <xf numFmtId="0" fontId="4" fillId="2" borderId="6" applyAlignment="1" pivotButton="0" quotePrefix="0" xfId="0">
      <alignment vertical="center"/>
    </xf>
    <xf numFmtId="0" fontId="4" fillId="2" borderId="6" applyAlignment="1" pivotButton="0" quotePrefix="0" xfId="0">
      <alignment horizontal="center" vertical="center"/>
    </xf>
    <xf numFmtId="49" fontId="4" fillId="2" borderId="6" applyAlignment="1" pivotButton="0" quotePrefix="0" xfId="0">
      <alignment vertical="center"/>
    </xf>
    <xf numFmtId="0" fontId="5" fillId="2" borderId="7"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horizontal="center" vertical="center" wrapText="1"/>
    </xf>
    <xf numFmtId="49" fontId="3" fillId="2" borderId="2" applyAlignment="1" pivotButton="0" quotePrefix="0" xfId="0">
      <alignment horizontal="left" vertical="center"/>
    </xf>
    <xf numFmtId="49" fontId="7" fillId="2" borderId="1" applyAlignment="1" pivotButton="0" quotePrefix="0" xfId="0">
      <alignment horizontal="center" vertical="center"/>
    </xf>
    <xf numFmtId="49" fontId="6" fillId="2" borderId="1" applyAlignment="1" pivotButton="0" quotePrefix="0" xfId="0">
      <alignment vertical="center"/>
    </xf>
    <xf numFmtId="0" fontId="3" fillId="2" borderId="8" applyAlignment="1" pivotButton="0" quotePrefix="0" xfId="0">
      <alignment horizontal="left" vertical="center"/>
    </xf>
    <xf numFmtId="0" fontId="3" fillId="2" borderId="4" applyAlignment="1" pivotButton="0" quotePrefix="0" xfId="0">
      <alignment horizontal="center" vertical="center"/>
    </xf>
    <xf numFmtId="49" fontId="3" fillId="2" borderId="4" applyAlignment="1" pivotButton="0" quotePrefix="0" xfId="0">
      <alignment horizontal="left" vertical="center"/>
    </xf>
    <xf numFmtId="0" fontId="3" fillId="2" borderId="4" applyAlignment="1" pivotButton="0" quotePrefix="0" xfId="0">
      <alignment horizontal="left" vertical="center"/>
    </xf>
    <xf numFmtId="0" fontId="3" fillId="2" borderId="5" applyAlignment="1" pivotButton="0" quotePrefix="0" xfId="0">
      <alignment horizontal="center" vertical="center"/>
    </xf>
    <xf numFmtId="0" fontId="3" fillId="2" borderId="5" applyAlignment="1" pivotButton="0" quotePrefix="0" xfId="0">
      <alignment horizontal="center" vertical="center" wrapText="1"/>
    </xf>
    <xf numFmtId="49" fontId="10" fillId="2" borderId="5" applyAlignment="1" pivotButton="0" quotePrefix="0" xfId="0">
      <alignment horizontal="center" vertical="center" wrapText="1"/>
    </xf>
    <xf numFmtId="0" fontId="3" fillId="2" borderId="9" applyAlignment="1" pivotButton="0" quotePrefix="0" xfId="0">
      <alignment vertical="center"/>
    </xf>
    <xf numFmtId="0" fontId="3" fillId="2" borderId="10" applyAlignment="1" pivotButton="0" quotePrefix="0" xfId="0">
      <alignment vertical="center"/>
    </xf>
    <xf numFmtId="0" fontId="3" fillId="2" borderId="5" applyAlignment="1" pivotButton="0" quotePrefix="0" xfId="0">
      <alignment vertical="center" wrapText="1"/>
    </xf>
    <xf numFmtId="0" fontId="11" fillId="2" borderId="5" applyAlignment="1" pivotButton="0" quotePrefix="0" xfId="0">
      <alignment horizontal="left" vertical="center"/>
    </xf>
    <xf numFmtId="0" fontId="0" fillId="2" borderId="5" applyAlignment="1" pivotButton="0" quotePrefix="0" xfId="0">
      <alignment vertical="center" wrapText="1"/>
    </xf>
    <xf numFmtId="49"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4" fillId="2" borderId="8" applyAlignment="1" pivotButton="0" quotePrefix="0" xfId="0">
      <alignment vertical="center"/>
    </xf>
    <xf numFmtId="0" fontId="8" fillId="2" borderId="5" applyAlignment="1" pivotButton="0" quotePrefix="0" xfId="0">
      <alignment horizontal="center" vertical="center" wrapText="1"/>
    </xf>
    <xf numFmtId="0" fontId="4" fillId="2" borderId="5" applyAlignment="1" pivotButton="0" quotePrefix="0" xfId="0">
      <alignment horizontal="center" vertical="center" wrapText="1"/>
    </xf>
    <xf numFmtId="0" fontId="5" fillId="2" borderId="5" applyAlignment="1" pivotButton="0" quotePrefix="0" xfId="0">
      <alignment horizontal="center" vertical="center"/>
    </xf>
    <xf numFmtId="0" fontId="4" fillId="2" borderId="14" applyAlignment="1" pivotButton="0" quotePrefix="0" xfId="0">
      <alignment vertical="center"/>
    </xf>
    <xf numFmtId="0" fontId="4" fillId="2" borderId="7" applyAlignment="1" pivotButton="0" quotePrefix="0" xfId="0">
      <alignment horizontal="center" vertical="center"/>
    </xf>
    <xf numFmtId="49" fontId="11" fillId="2" borderId="5" applyAlignment="1" pivotButton="0" quotePrefix="0" xfId="0">
      <alignment horizontal="center" vertical="center" wrapText="1"/>
    </xf>
    <xf numFmtId="0" fontId="4" fillId="2" borderId="15" applyAlignment="1" pivotButton="0" quotePrefix="0" xfId="0">
      <alignment vertical="center"/>
    </xf>
    <xf numFmtId="49" fontId="6" fillId="3" borderId="16" applyAlignment="1" pivotButton="0" quotePrefix="0" xfId="0">
      <alignment vertical="center"/>
    </xf>
    <xf numFmtId="0" fontId="4" fillId="2" borderId="17" applyAlignment="1" pivotButton="0" quotePrefix="0" xfId="0">
      <alignment horizontal="center" vertical="center"/>
    </xf>
    <xf numFmtId="2" fontId="12" fillId="2" borderId="5" applyAlignment="1" pivotButton="0" quotePrefix="0" xfId="0">
      <alignment horizontal="center" vertical="center"/>
    </xf>
    <xf numFmtId="49" fontId="4" fillId="2" borderId="5" applyAlignment="1" pivotButton="0" quotePrefix="0" xfId="0">
      <alignment vertical="center"/>
    </xf>
    <xf numFmtId="0" fontId="13" fillId="2" borderId="1" pivotButton="0" quotePrefix="0" xfId="0"/>
    <xf numFmtId="49" fontId="3" fillId="2" borderId="15" applyAlignment="1" pivotButton="0" quotePrefix="0" xfId="0">
      <alignment horizontal="left" vertical="center"/>
    </xf>
    <xf numFmtId="0" fontId="13" fillId="2" borderId="4" pivotButton="0" quotePrefix="0" xfId="0"/>
    <xf numFmtId="49" fontId="7" fillId="5" borderId="5" applyAlignment="1" pivotButton="0" quotePrefix="0" xfId="0">
      <alignment horizontal="center" vertical="center"/>
    </xf>
    <xf numFmtId="0" fontId="3" fillId="5" borderId="5" applyAlignment="1" pivotButton="0" quotePrefix="0" xfId="0">
      <alignment vertical="center" wrapText="1"/>
    </xf>
    <xf numFmtId="0" fontId="0" fillId="2" borderId="2" pivotButton="0" quotePrefix="0" xfId="0"/>
    <xf numFmtId="49" fontId="7" fillId="5" borderId="5" applyAlignment="1" pivotButton="0" quotePrefix="0" xfId="0">
      <alignment horizontal="center" vertical="center" wrapText="1"/>
    </xf>
    <xf numFmtId="0" fontId="0" fillId="6" borderId="5" pivotButton="0" quotePrefix="0" xfId="0"/>
    <xf numFmtId="0" fontId="12" fillId="6" borderId="5" applyAlignment="1" pivotButton="0" quotePrefix="0" xfId="0">
      <alignment wrapText="1"/>
    </xf>
    <xf numFmtId="0" fontId="12" fillId="2" borderId="2" applyAlignment="1" pivotButton="0" quotePrefix="0" xfId="0">
      <alignment wrapText="1"/>
    </xf>
    <xf numFmtId="0" fontId="12" fillId="2" borderId="1" applyAlignment="1" pivotButton="0" quotePrefix="0" xfId="0">
      <alignment wrapText="1"/>
    </xf>
    <xf numFmtId="49" fontId="3" fillId="5" borderId="20" pivotButton="0" quotePrefix="0" xfId="0"/>
    <xf numFmtId="0" fontId="3" fillId="5" borderId="21" pivotButton="0" quotePrefix="0" xfId="0"/>
    <xf numFmtId="0" fontId="3" fillId="2" borderId="22" pivotButton="0" quotePrefix="0" xfId="0"/>
    <xf numFmtId="0" fontId="5" fillId="2" borderId="6" pivotButton="0" quotePrefix="0" xfId="0"/>
    <xf numFmtId="0" fontId="5" fillId="2" borderId="1" pivotButton="0" quotePrefix="0" xfId="0"/>
    <xf numFmtId="49" fontId="3" fillId="5" borderId="16" applyAlignment="1" pivotButton="0" quotePrefix="0" xfId="0">
      <alignment vertical="center"/>
    </xf>
    <xf numFmtId="0" fontId="5" fillId="5" borderId="24" pivotButton="0" quotePrefix="0" xfId="0"/>
    <xf numFmtId="0" fontId="5" fillId="2" borderId="17" pivotButton="0" quotePrefix="0" xfId="0"/>
    <xf numFmtId="0" fontId="5" fillId="2" borderId="4" pivotButton="0" quotePrefix="0" xfId="0"/>
    <xf numFmtId="49" fontId="15" fillId="5" borderId="25" pivotButton="0" quotePrefix="0" xfId="0"/>
    <xf numFmtId="49" fontId="15" fillId="5" borderId="26" pivotButton="0" quotePrefix="0" xfId="0"/>
    <xf numFmtId="0" fontId="0" fillId="2" borderId="2" applyAlignment="1" pivotButton="0" quotePrefix="0" xfId="0">
      <alignment vertical="center"/>
    </xf>
    <xf numFmtId="49" fontId="15" fillId="5" borderId="28" pivotButton="0" quotePrefix="0" xfId="0"/>
    <xf numFmtId="0" fontId="3" fillId="2" borderId="2" applyAlignment="1" pivotButton="0" quotePrefix="0" xfId="0">
      <alignment horizontal="center" vertical="center" wrapText="1"/>
    </xf>
    <xf numFmtId="0" fontId="4" fillId="2" borderId="6" applyAlignment="1" pivotButton="0" quotePrefix="0" xfId="0">
      <alignment horizontal="left" wrapText="1"/>
    </xf>
    <xf numFmtId="0" fontId="8" fillId="2" borderId="1" applyAlignment="1" pivotButton="0" quotePrefix="0" xfId="0">
      <alignment horizontal="center" vertical="center" wrapText="1"/>
    </xf>
    <xf numFmtId="0" fontId="4" fillId="2" borderId="1" applyAlignment="1" pivotButton="0" quotePrefix="0" xfId="0">
      <alignment horizontal="left" wrapText="1"/>
    </xf>
    <xf numFmtId="49" fontId="6" fillId="2" borderId="4" pivotButton="0" quotePrefix="0" xfId="0"/>
    <xf numFmtId="0" fontId="16" fillId="2" borderId="4" applyAlignment="1" pivotButton="0" quotePrefix="0" xfId="0">
      <alignment vertical="center"/>
    </xf>
    <xf numFmtId="0" fontId="17" fillId="2" borderId="29" applyAlignment="1" pivotButton="0" quotePrefix="0" xfId="0">
      <alignment vertical="center"/>
    </xf>
    <xf numFmtId="49" fontId="3" fillId="5" borderId="5" applyAlignment="1" pivotButton="0" quotePrefix="0" xfId="0">
      <alignment horizontal="center" vertical="center" wrapText="1"/>
    </xf>
    <xf numFmtId="0" fontId="8" fillId="2" borderId="2" applyAlignment="1" pivotButton="0" quotePrefix="0" xfId="0">
      <alignment horizontal="center" vertical="center" wrapText="1"/>
    </xf>
    <xf numFmtId="0" fontId="7" fillId="5" borderId="5" applyAlignment="1" pivotButton="0" quotePrefix="0" xfId="0">
      <alignment horizontal="center" vertical="center" wrapText="1"/>
    </xf>
    <xf numFmtId="49" fontId="15" fillId="7" borderId="5" applyAlignment="1" pivotButton="0" quotePrefix="0" xfId="0">
      <alignment horizontal="center" vertical="center" wrapText="1"/>
    </xf>
    <xf numFmtId="1" fontId="15" fillId="7" borderId="5" applyAlignment="1" pivotButton="0" quotePrefix="0" xfId="0">
      <alignment horizontal="center" vertical="center" wrapText="1"/>
    </xf>
    <xf numFmtId="0" fontId="15" fillId="7" borderId="5" applyAlignment="1" pivotButton="0" quotePrefix="0" xfId="0">
      <alignment horizontal="center" vertical="center" wrapText="1"/>
    </xf>
    <xf numFmtId="49" fontId="12" fillId="2" borderId="5" applyAlignment="1" pivotButton="0" quotePrefix="0" xfId="0">
      <alignment horizontal="center" vertical="center"/>
    </xf>
    <xf numFmtId="0" fontId="12" fillId="2" borderId="5" applyAlignment="1" pivotButton="0" quotePrefix="0" xfId="0">
      <alignment horizontal="center" vertical="center"/>
    </xf>
    <xf numFmtId="0" fontId="0" fillId="2" borderId="30" pivotButton="0" quotePrefix="0" xfId="0"/>
    <xf numFmtId="0" fontId="0" fillId="2" borderId="31" pivotButton="0" quotePrefix="0" xfId="0"/>
    <xf numFmtId="0" fontId="0" fillId="2" borderId="27" pivotButton="0" quotePrefix="0" xfId="0"/>
    <xf numFmtId="0" fontId="0" fillId="2" borderId="32" pivotButton="0" quotePrefix="0" xfId="0"/>
    <xf numFmtId="0" fontId="0" fillId="2" borderId="33" pivotButton="0" quotePrefix="0" xfId="0"/>
    <xf numFmtId="0" fontId="0" fillId="2" borderId="34" pivotButton="0" quotePrefix="0" xfId="0"/>
    <xf numFmtId="0" fontId="0" fillId="2" borderId="35" pivotButton="0" quotePrefix="0" xfId="0"/>
    <xf numFmtId="49" fontId="12" fillId="2" borderId="4" pivotButton="0" quotePrefix="0" xfId="0"/>
    <xf numFmtId="49" fontId="0" fillId="2" borderId="5" applyAlignment="1" pivotButton="0" quotePrefix="0" xfId="0">
      <alignment horizontal="center"/>
    </xf>
    <xf numFmtId="49" fontId="18" fillId="8" borderId="5" applyAlignment="1" pivotButton="0" quotePrefix="0" xfId="0">
      <alignment horizontal="center" wrapText="1"/>
    </xf>
    <xf numFmtId="49" fontId="0" fillId="2" borderId="5" applyAlignment="1" pivotButton="0" quotePrefix="0" xfId="0">
      <alignment horizontal="center" wrapText="1"/>
    </xf>
    <xf numFmtId="49" fontId="0" fillId="9" borderId="5" applyAlignment="1" pivotButton="0" quotePrefix="0" xfId="0">
      <alignment horizontal="center"/>
    </xf>
    <xf numFmtId="164" fontId="0" fillId="2" borderId="5" applyAlignment="1" pivotButton="0" quotePrefix="0" xfId="0">
      <alignment horizontal="center"/>
    </xf>
    <xf numFmtId="0" fontId="0" fillId="2" borderId="5" applyAlignment="1" pivotButton="0" quotePrefix="0" xfId="0">
      <alignment horizontal="center"/>
    </xf>
    <xf numFmtId="0" fontId="0" fillId="2" borderId="5" applyAlignment="1" pivotButton="0" quotePrefix="0" xfId="0">
      <alignment horizontal="center" wrapText="1"/>
    </xf>
    <xf numFmtId="0" fontId="0" fillId="2" borderId="6" applyAlignment="1" pivotButton="0" quotePrefix="0" xfId="0">
      <alignment horizontal="center"/>
    </xf>
    <xf numFmtId="0" fontId="0" fillId="2" borderId="6" applyAlignment="1" pivotButton="0" quotePrefix="0" xfId="0">
      <alignment horizontal="center" wrapText="1"/>
    </xf>
    <xf numFmtId="0" fontId="0" fillId="2" borderId="1" applyAlignment="1" pivotButton="0" quotePrefix="0" xfId="0">
      <alignment horizontal="center"/>
    </xf>
    <xf numFmtId="0" fontId="0" fillId="2" borderId="1" applyAlignment="1" pivotButton="0" quotePrefix="0" xfId="0">
      <alignment horizontal="center" wrapText="1"/>
    </xf>
    <xf numFmtId="0" fontId="0" fillId="2" borderId="4" applyAlignment="1" pivotButton="0" quotePrefix="0" xfId="0">
      <alignment horizontal="center" wrapText="1"/>
    </xf>
    <xf numFmtId="0" fontId="0" fillId="2" borderId="4" applyAlignment="1" pivotButton="0" quotePrefix="0" xfId="0">
      <alignment horizontal="center"/>
    </xf>
    <xf numFmtId="49" fontId="3" fillId="2" borderId="5" applyAlignment="1" pivotButton="0" quotePrefix="0" xfId="0">
      <alignment horizontal="center" vertical="center" wrapText="1"/>
    </xf>
    <xf numFmtId="0" fontId="0" fillId="2" borderId="36" pivotButton="0" quotePrefix="0" xfId="0"/>
    <xf numFmtId="49" fontId="0" fillId="2" borderId="5" applyAlignment="1" pivotButton="0" quotePrefix="0" xfId="0">
      <alignment horizontal="center" vertical="center"/>
    </xf>
    <xf numFmtId="2" fontId="15" fillId="2" borderId="5" applyAlignment="1" pivotButton="0" quotePrefix="0" xfId="0">
      <alignment horizontal="center" vertical="center" wrapText="1"/>
    </xf>
    <xf numFmtId="0" fontId="15" fillId="2" borderId="5" applyAlignment="1" pivotButton="0" quotePrefix="0" xfId="0">
      <alignment horizontal="center" vertical="center" wrapText="1"/>
    </xf>
    <xf numFmtId="49" fontId="15" fillId="2" borderId="5" applyAlignment="1" pivotButton="0" quotePrefix="0" xfId="0">
      <alignment horizontal="center" vertical="center" wrapText="1"/>
    </xf>
    <xf numFmtId="49" fontId="0" fillId="2" borderId="5" applyAlignment="1" pivotButton="0" quotePrefix="0" xfId="0">
      <alignment vertical="center" wrapText="1"/>
    </xf>
    <xf numFmtId="49" fontId="9" fillId="2" borderId="5" applyAlignment="1" pivotButton="0" quotePrefix="0" xfId="0">
      <alignment horizontal="center" vertical="center" wrapText="1"/>
    </xf>
    <xf numFmtId="0" fontId="0" fillId="2" borderId="5" pivotButton="0" quotePrefix="0" xfId="0"/>
    <xf numFmtId="0" fontId="19" fillId="2" borderId="5" applyAlignment="1" pivotButton="0" quotePrefix="0" xfId="0">
      <alignment horizontal="center" vertical="center"/>
    </xf>
    <xf numFmtId="49" fontId="15" fillId="2" borderId="11" applyAlignment="1" pivotButton="0" quotePrefix="0" xfId="0">
      <alignment horizontal="center" readingOrder="1"/>
    </xf>
    <xf numFmtId="49" fontId="15" fillId="2" borderId="12" applyAlignment="1" pivotButton="0" quotePrefix="0" xfId="0">
      <alignment horizontal="center" readingOrder="1"/>
    </xf>
    <xf numFmtId="49" fontId="0" fillId="2" borderId="18" applyAlignment="1" pivotButton="0" quotePrefix="0" xfId="0">
      <alignment horizontal="center" vertical="center"/>
    </xf>
    <xf numFmtId="49" fontId="15" fillId="2" borderId="5" applyAlignment="1" pivotButton="0" quotePrefix="0" xfId="0">
      <alignment horizontal="center"/>
    </xf>
    <xf numFmtId="0" fontId="0" fillId="2" borderId="2" applyAlignment="1" pivotButton="0" quotePrefix="0" xfId="0">
      <alignment horizontal="center"/>
    </xf>
    <xf numFmtId="49" fontId="15" fillId="2" borderId="5" applyAlignment="1" pivotButton="0" quotePrefix="0" xfId="0">
      <alignment horizontal="center" wrapText="1"/>
    </xf>
    <xf numFmtId="49" fontId="15" fillId="2" borderId="13" applyAlignment="1" pivotButton="0" quotePrefix="0" xfId="0">
      <alignment horizontal="center" readingOrder="1"/>
    </xf>
    <xf numFmtId="0" fontId="20" fillId="2" borderId="5" applyAlignment="1" pivotButton="0" quotePrefix="0" xfId="0">
      <alignment horizontal="center" vertical="center" wrapText="1"/>
    </xf>
    <xf numFmtId="164" fontId="20" fillId="2" borderId="5" applyAlignment="1" pivotButton="0" quotePrefix="0" xfId="0">
      <alignment horizontal="center" vertical="center" wrapText="1"/>
    </xf>
    <xf numFmtId="49" fontId="20" fillId="2" borderId="5" applyAlignment="1" pivotButton="0" quotePrefix="0" xfId="0">
      <alignment horizontal="center" vertical="center" wrapText="1"/>
    </xf>
    <xf numFmtId="0" fontId="0" fillId="2" borderId="1" applyAlignment="1" pivotButton="0" quotePrefix="0" xfId="0">
      <alignment horizontal="center" vertical="center"/>
    </xf>
    <xf numFmtId="49" fontId="22" fillId="10" borderId="37" applyAlignment="1" pivotButton="0" quotePrefix="0" xfId="0">
      <alignment vertical="center"/>
    </xf>
    <xf numFmtId="49" fontId="6" fillId="2" borderId="19" applyAlignment="1" pivotButton="0" quotePrefix="0" xfId="0">
      <alignment vertical="center"/>
    </xf>
    <xf numFmtId="0" fontId="6" fillId="2" borderId="10" applyAlignment="1" pivotButton="0" quotePrefix="0" xfId="0">
      <alignment vertical="center"/>
    </xf>
    <xf numFmtId="49" fontId="22" fillId="10" borderId="37" applyAlignment="1" pivotButton="0" quotePrefix="0" xfId="0">
      <alignment horizontal="left" vertical="center" wrapText="1"/>
    </xf>
    <xf numFmtId="0" fontId="0" fillId="2" borderId="8" applyAlignment="1" pivotButton="0" quotePrefix="0" xfId="0">
      <alignment horizontal="center" vertical="center"/>
    </xf>
    <xf numFmtId="0" fontId="0" fillId="2" borderId="4" applyAlignment="1" pivotButton="0" quotePrefix="0" xfId="0">
      <alignment horizontal="center" vertical="center"/>
    </xf>
    <xf numFmtId="49" fontId="8" fillId="2" borderId="5" applyAlignment="1" pivotButton="0" quotePrefix="0" xfId="0">
      <alignment horizontal="center" vertical="center"/>
    </xf>
    <xf numFmtId="49" fontId="15" fillId="2" borderId="40" applyAlignment="1" pivotButton="0" quotePrefix="0" xfId="0">
      <alignment horizontal="center" readingOrder="1"/>
    </xf>
    <xf numFmtId="0" fontId="0" fillId="2" borderId="41" applyAlignment="1" pivotButton="0" quotePrefix="0" xfId="0">
      <alignment horizontal="center"/>
    </xf>
    <xf numFmtId="0" fontId="15" fillId="2" borderId="5" applyAlignment="1" pivotButton="0" quotePrefix="0" xfId="0">
      <alignment horizontal="center" vertical="center"/>
    </xf>
    <xf numFmtId="0" fontId="11" fillId="2" borderId="42" applyAlignment="1" pivotButton="0" quotePrefix="0" xfId="0">
      <alignment horizontal="center"/>
    </xf>
    <xf numFmtId="0" fontId="11" fillId="2" borderId="5" applyAlignment="1" pivotButton="0" quotePrefix="0" xfId="0">
      <alignment horizontal="left"/>
    </xf>
    <xf numFmtId="1" fontId="8" fillId="2" borderId="42" applyAlignment="1" pivotButton="0" quotePrefix="0" xfId="0">
      <alignment horizontal="center" vertical="center"/>
    </xf>
    <xf numFmtId="1" fontId="8" fillId="2" borderId="5" applyAlignment="1" pivotButton="0" quotePrefix="0" xfId="0">
      <alignment horizontal="center" vertical="center"/>
    </xf>
    <xf numFmtId="0" fontId="5" fillId="2" borderId="5" applyAlignment="1" pivotButton="0" quotePrefix="0" xfId="0">
      <alignment horizontal="center" vertical="center" wrapText="1"/>
    </xf>
    <xf numFmtId="0" fontId="0" fillId="2" borderId="14" pivotButton="0" quotePrefix="0" xfId="0"/>
    <xf numFmtId="2" fontId="5" fillId="2" borderId="5" applyAlignment="1" pivotButton="0" quotePrefix="0" xfId="0">
      <alignment horizontal="center" vertical="center" wrapText="1"/>
    </xf>
    <xf numFmtId="2" fontId="0" fillId="2" borderId="5" applyAlignment="1" pivotButton="0" quotePrefix="0" xfId="0">
      <alignment horizontal="center" vertical="center"/>
    </xf>
    <xf numFmtId="49" fontId="12" fillId="2" borderId="5" applyAlignment="1" pivotButton="0" quotePrefix="0" xfId="0">
      <alignment vertical="center"/>
    </xf>
    <xf numFmtId="49" fontId="23" fillId="2" borderId="5" applyAlignment="1" pivotButton="0" quotePrefix="0" xfId="0">
      <alignment horizontal="center" vertical="center" wrapText="1" readingOrder="1"/>
    </xf>
    <xf numFmtId="0" fontId="12" fillId="2" borderId="5" applyAlignment="1" pivotButton="0" quotePrefix="0" xfId="0">
      <alignment vertical="center"/>
    </xf>
    <xf numFmtId="0" fontId="12" fillId="2" borderId="5" applyAlignment="1" pivotButton="0" quotePrefix="0" xfId="0">
      <alignment horizontal="center" vertical="center" wrapText="1"/>
    </xf>
    <xf numFmtId="0" fontId="0" fillId="2" borderId="5" applyAlignment="1" pivotButton="0" quotePrefix="0" xfId="0">
      <alignment horizontal="center" vertical="center"/>
    </xf>
    <xf numFmtId="0" fontId="20" fillId="8" borderId="5" applyAlignment="1" pivotButton="0" quotePrefix="0" xfId="0">
      <alignment horizontal="center" vertical="center" wrapText="1"/>
    </xf>
    <xf numFmtId="164" fontId="0" fillId="2" borderId="5" applyAlignment="1" pivotButton="0" quotePrefix="0" xfId="0">
      <alignment horizontal="center" vertical="center"/>
    </xf>
    <xf numFmtId="0" fontId="0" fillId="2" borderId="27" applyAlignment="1" pivotButton="0" quotePrefix="0" xfId="0">
      <alignment vertical="center"/>
    </xf>
    <xf numFmtId="0" fontId="0" fillId="2" borderId="6" applyAlignment="1" pivotButton="0" quotePrefix="0" xfId="0">
      <alignment horizontal="center" vertical="center"/>
    </xf>
    <xf numFmtId="0" fontId="0" fillId="2" borderId="6" applyAlignment="1" pivotButton="0" quotePrefix="0" xfId="0">
      <alignment vertical="center"/>
    </xf>
    <xf numFmtId="49" fontId="12" fillId="2" borderId="5" applyAlignment="1" pivotButton="0" quotePrefix="0" xfId="0">
      <alignment wrapText="1"/>
    </xf>
    <xf numFmtId="0" fontId="14" fillId="2" borderId="2" applyAlignment="1" pivotButton="0" quotePrefix="0" xfId="0">
      <alignment wrapText="1"/>
    </xf>
    <xf numFmtId="49" fontId="0" fillId="2" borderId="5" pivotButton="0" quotePrefix="0" xfId="0"/>
    <xf numFmtId="2" fontId="0" fillId="2" borderId="5" applyAlignment="1" pivotButton="0" quotePrefix="0" xfId="0">
      <alignment horizontal="center"/>
    </xf>
    <xf numFmtId="2" fontId="0" fillId="2" borderId="5" pivotButton="0" quotePrefix="0" xfId="0"/>
    <xf numFmtId="164" fontId="0" fillId="2" borderId="2" applyAlignment="1" pivotButton="0" quotePrefix="0" xfId="0">
      <alignment horizontal="center"/>
    </xf>
    <xf numFmtId="2" fontId="0" fillId="2" borderId="1" applyAlignment="1" pivotButton="0" quotePrefix="0" xfId="0">
      <alignment horizontal="center"/>
    </xf>
    <xf numFmtId="49" fontId="0" fillId="2" borderId="1" pivotButton="0" quotePrefix="0" xfId="0"/>
    <xf numFmtId="0" fontId="12" fillId="2" borderId="3" applyAlignment="1" pivotButton="0" quotePrefix="0" xfId="0">
      <alignment horizontal="center"/>
    </xf>
    <xf numFmtId="49" fontId="12" fillId="2" borderId="5" applyAlignment="1" pivotButton="0" quotePrefix="0" xfId="0">
      <alignment horizontal="center"/>
    </xf>
    <xf numFmtId="0" fontId="14" fillId="2" borderId="3" applyAlignment="1" pivotButton="0" quotePrefix="0" xfId="0">
      <alignment horizontal="center"/>
    </xf>
    <xf numFmtId="0" fontId="12" fillId="2" borderId="2" applyAlignment="1" pivotButton="0" quotePrefix="0" xfId="0">
      <alignment horizontal="center"/>
    </xf>
    <xf numFmtId="0" fontId="24" fillId="2" borderId="1" applyAlignment="1" pivotButton="0" quotePrefix="0" xfId="0">
      <alignment horizontal="center" vertical="center" wrapText="1"/>
    </xf>
    <xf numFmtId="0" fontId="12" fillId="2" borderId="1" pivotButton="0" quotePrefix="0" xfId="0"/>
    <xf numFmtId="0" fontId="0" fillId="0" borderId="31" pivotButton="0" quotePrefix="0" xfId="0"/>
    <xf numFmtId="0" fontId="0" fillId="2" borderId="1" pivotButton="0" quotePrefix="0" xfId="0"/>
    <xf numFmtId="49" fontId="3" fillId="2" borderId="1" applyAlignment="1" pivotButton="0" quotePrefix="0" xfId="0">
      <alignment horizontal="left" vertical="center"/>
    </xf>
    <xf numFmtId="0" fontId="0" fillId="2" borderId="10" pivotButton="0" quotePrefix="0" xfId="0"/>
    <xf numFmtId="0" fontId="0" fillId="2" borderId="3" pivotButton="0" quotePrefix="0" xfId="0"/>
    <xf numFmtId="0" fontId="0" fillId="2" borderId="4" pivotButton="0" quotePrefix="0" xfId="0"/>
    <xf numFmtId="0" fontId="0" fillId="2" borderId="23" pivotButton="0" quotePrefix="0" xfId="0"/>
    <xf numFmtId="0" fontId="0" fillId="2" borderId="15" pivotButton="0" quotePrefix="0" xfId="0"/>
    <xf numFmtId="0" fontId="0" fillId="2" borderId="6" pivotButton="0" quotePrefix="0" xfId="0"/>
    <xf numFmtId="0" fontId="26" fillId="12" borderId="61" applyAlignment="1" pivotButton="0" quotePrefix="0" xfId="0">
      <alignment horizontal="center" vertical="center"/>
    </xf>
    <xf numFmtId="0" fontId="26" fillId="13" borderId="61" applyAlignment="1" pivotButton="0" quotePrefix="0" xfId="0">
      <alignment horizontal="center" vertical="center"/>
    </xf>
    <xf numFmtId="0" fontId="26" fillId="0" borderId="61" applyAlignment="1" pivotButton="0" quotePrefix="0" xfId="0">
      <alignment horizontal="center" vertical="center"/>
    </xf>
    <xf numFmtId="0" fontId="26" fillId="0" borderId="61" pivotButton="0" quotePrefix="0" xfId="0"/>
    <xf numFmtId="0" fontId="26" fillId="14" borderId="61" applyAlignment="1" pivotButton="0" quotePrefix="0" xfId="0">
      <alignment horizontal="center" vertical="center"/>
    </xf>
    <xf numFmtId="0" fontId="26" fillId="11" borderId="61" applyAlignment="1" pivotButton="0" quotePrefix="0" xfId="0">
      <alignment horizontal="center" vertical="center"/>
    </xf>
    <xf numFmtId="0" fontId="27" fillId="0" borderId="61" applyAlignment="1" pivotButton="0" quotePrefix="0" xfId="0">
      <alignment horizontal="center" vertical="center"/>
    </xf>
    <xf numFmtId="0" fontId="27" fillId="0" borderId="61" pivotButton="0" quotePrefix="0" xfId="0"/>
    <xf numFmtId="0" fontId="27" fillId="14" borderId="61" applyAlignment="1" pivotButton="0" quotePrefix="0" xfId="0">
      <alignment horizontal="center" vertical="center"/>
    </xf>
    <xf numFmtId="49" fontId="3" fillId="2" borderId="2" applyAlignment="1" pivotButton="0" quotePrefix="0" xfId="0">
      <alignment horizontal="center" vertical="center"/>
    </xf>
    <xf numFmtId="0" fontId="0" fillId="0" borderId="45" pivotButton="0" quotePrefix="0" xfId="0"/>
    <xf numFmtId="0" fontId="0" fillId="0" borderId="27" pivotButton="0" quotePrefix="0" xfId="0"/>
    <xf numFmtId="49" fontId="3" fillId="2" borderId="1" applyAlignment="1" pivotButton="0" quotePrefix="0" xfId="0">
      <alignment horizontal="left" vertical="center"/>
    </xf>
    <xf numFmtId="49" fontId="10" fillId="2" borderId="9" applyAlignment="1" pivotButton="0" quotePrefix="0" xfId="0">
      <alignment horizontal="center" vertical="center" wrapText="1"/>
    </xf>
    <xf numFmtId="0" fontId="0" fillId="0" borderId="48" pivotButton="0" quotePrefix="0" xfId="0"/>
    <xf numFmtId="0" fontId="0" fillId="0" borderId="19" pivotButton="0" quotePrefix="0" xfId="0"/>
    <xf numFmtId="49" fontId="10" fillId="2" borderId="11" applyAlignment="1" pivotButton="0" quotePrefix="0" xfId="0">
      <alignment horizontal="center" vertical="center" wrapText="1"/>
    </xf>
    <xf numFmtId="0" fontId="0" fillId="0" borderId="47" pivotButton="0" quotePrefix="0" xfId="0"/>
    <xf numFmtId="0" fontId="0" fillId="0" borderId="46" pivotButton="0" quotePrefix="0" xfId="0"/>
    <xf numFmtId="49" fontId="15" fillId="6" borderId="5" applyAlignment="1" pivotButton="0" quotePrefix="0" xfId="0">
      <alignment horizontal="left" vertical="center" wrapText="1"/>
    </xf>
    <xf numFmtId="0" fontId="0" fillId="0" borderId="52" pivotButton="0" quotePrefix="0" xfId="0"/>
    <xf numFmtId="49" fontId="14" fillId="2" borderId="8" applyAlignment="1" pivotButton="0" quotePrefix="0" xfId="0">
      <alignment horizontal="center" wrapText="1"/>
    </xf>
    <xf numFmtId="0" fontId="0" fillId="0" borderId="49" pivotButton="0" quotePrefix="0" xfId="0"/>
    <xf numFmtId="0" fontId="0" fillId="0" borderId="17" pivotButton="0" quotePrefix="0" xfId="0"/>
    <xf numFmtId="49" fontId="15" fillId="2" borderId="17" applyAlignment="1" pivotButton="0" quotePrefix="0" xfId="0">
      <alignment horizontal="center"/>
    </xf>
    <xf numFmtId="49" fontId="13" fillId="4" borderId="50" applyAlignment="1" pivotButton="0" quotePrefix="0" xfId="0">
      <alignment horizontal="center"/>
    </xf>
    <xf numFmtId="0" fontId="0" fillId="0" borderId="24" pivotButton="0" quotePrefix="0" xfId="0"/>
    <xf numFmtId="0" fontId="0" fillId="0" borderId="51" pivotButton="0" quotePrefix="0" xfId="0"/>
    <xf numFmtId="49" fontId="15" fillId="2" borderId="27" applyAlignment="1" pivotButton="0" quotePrefix="0" xfId="0">
      <alignment horizontal="center"/>
    </xf>
    <xf numFmtId="49" fontId="4" fillId="2" borderId="34" applyAlignment="1" pivotButton="0" quotePrefix="0" xfId="0">
      <alignment horizontal="left" wrapText="1"/>
    </xf>
    <xf numFmtId="0" fontId="0" fillId="0" borderId="35" pivotButton="0" quotePrefix="0" xfId="0"/>
    <xf numFmtId="0" fontId="0" fillId="0" borderId="33" pivotButton="0" quotePrefix="0" xfId="0"/>
    <xf numFmtId="0" fontId="8" fillId="6" borderId="5" applyAlignment="1" pivotButton="0" quotePrefix="0" xfId="0">
      <alignment horizontal="left" vertical="center" wrapText="1"/>
    </xf>
    <xf numFmtId="49" fontId="15" fillId="6" borderId="5" applyAlignment="1" pivotButton="0" quotePrefix="0" xfId="0">
      <alignment horizontal="left" vertical="center" wrapText="1" readingOrder="1"/>
    </xf>
    <xf numFmtId="49" fontId="15" fillId="2" borderId="22" applyAlignment="1" pivotButton="0" quotePrefix="0" xfId="0">
      <alignment horizontal="center"/>
    </xf>
    <xf numFmtId="0" fontId="0" fillId="0" borderId="53" pivotButton="0" quotePrefix="0" xfId="0"/>
    <xf numFmtId="0" fontId="0" fillId="0" borderId="22" pivotButton="0" quotePrefix="0" xfId="0"/>
    <xf numFmtId="49" fontId="14" fillId="5" borderId="5" applyAlignment="1" pivotButton="0" quotePrefix="0" xfId="0">
      <alignment horizontal="center" vertical="center"/>
    </xf>
    <xf numFmtId="49" fontId="0" fillId="2" borderId="4" applyAlignment="1" pivotButton="0" quotePrefix="0" xfId="0">
      <alignment horizontal="center"/>
    </xf>
    <xf numFmtId="0" fontId="26" fillId="0" borderId="61" applyAlignment="1" pivotButton="0" quotePrefix="0" xfId="0">
      <alignment horizontal="center" vertical="center"/>
    </xf>
    <xf numFmtId="0" fontId="27" fillId="0" borderId="61" applyAlignment="1" pivotButton="0" quotePrefix="0" xfId="0">
      <alignment horizontal="center" vertical="center"/>
    </xf>
    <xf numFmtId="0" fontId="0" fillId="0" borderId="61" pivotButton="0" quotePrefix="0" xfId="0"/>
    <xf numFmtId="0" fontId="26" fillId="0" borderId="61" pivotButton="0" quotePrefix="0" xfId="0"/>
    <xf numFmtId="0" fontId="26" fillId="11" borderId="61" applyAlignment="1" pivotButton="0" quotePrefix="0" xfId="0">
      <alignment horizontal="center" vertical="center"/>
    </xf>
    <xf numFmtId="0" fontId="26" fillId="13" borderId="61" applyAlignment="1" pivotButton="0" quotePrefix="0" xfId="0">
      <alignment horizontal="center" vertical="center"/>
    </xf>
    <xf numFmtId="0" fontId="26" fillId="13" borderId="61" pivotButton="0" quotePrefix="0" xfId="0"/>
    <xf numFmtId="0" fontId="26" fillId="11" borderId="61" pivotButton="0" quotePrefix="0" xfId="0"/>
    <xf numFmtId="0" fontId="26" fillId="12" borderId="61" applyAlignment="1" pivotButton="0" quotePrefix="0" xfId="0">
      <alignment horizontal="center" vertical="center"/>
    </xf>
    <xf numFmtId="0" fontId="26" fillId="14" borderId="61" applyAlignment="1" pivotButton="0" quotePrefix="0" xfId="0">
      <alignment horizontal="center" vertical="center"/>
    </xf>
    <xf numFmtId="0" fontId="26" fillId="14" borderId="61" pivotButton="0" quotePrefix="0" xfId="0"/>
    <xf numFmtId="0" fontId="26" fillId="12" borderId="61" pivotButton="0" quotePrefix="0" xfId="0"/>
    <xf numFmtId="49" fontId="6" fillId="2" borderId="19" applyAlignment="1" pivotButton="0" quotePrefix="0" xfId="0">
      <alignment horizontal="left" vertical="center"/>
    </xf>
    <xf numFmtId="49" fontId="5" fillId="2" borderId="44" applyAlignment="1" pivotButton="0" quotePrefix="0" xfId="0">
      <alignment horizontal="center" vertical="center"/>
    </xf>
    <xf numFmtId="0" fontId="0" fillId="0" borderId="57" pivotButton="0" quotePrefix="0" xfId="0"/>
    <xf numFmtId="0" fontId="0" fillId="0" borderId="43" pivotButton="0" quotePrefix="0" xfId="0"/>
    <xf numFmtId="49" fontId="14" fillId="2" borderId="38" applyAlignment="1" pivotButton="0" quotePrefix="0" xfId="0">
      <alignment horizontal="left" vertical="center"/>
    </xf>
    <xf numFmtId="0" fontId="0" fillId="0" borderId="38" pivotButton="0" quotePrefix="0" xfId="0"/>
    <xf numFmtId="49" fontId="0" fillId="2" borderId="4" applyAlignment="1" pivotButton="0" quotePrefix="0" xfId="0">
      <alignment horizontal="center" wrapText="1"/>
    </xf>
    <xf numFmtId="49" fontId="12" fillId="2" borderId="11" applyAlignment="1" pivotButton="0" quotePrefix="0" xfId="0">
      <alignment horizontal="center" vertical="center"/>
    </xf>
    <xf numFmtId="49" fontId="5" fillId="2" borderId="54" applyAlignment="1" pivotButton="0" quotePrefix="0" xfId="0">
      <alignment horizontal="center" vertical="center"/>
    </xf>
    <xf numFmtId="0" fontId="0" fillId="0" borderId="55" pivotButton="0" quotePrefix="0" xfId="0"/>
    <xf numFmtId="0" fontId="0" fillId="0" borderId="56" pivotButton="0" quotePrefix="0" xfId="0"/>
    <xf numFmtId="49" fontId="12" fillId="2" borderId="5" applyAlignment="1" pivotButton="0" quotePrefix="0" xfId="0">
      <alignment horizontal="center" vertical="center"/>
    </xf>
    <xf numFmtId="0" fontId="0" fillId="0" borderId="39" pivotButton="0" quotePrefix="0" xfId="0"/>
    <xf numFmtId="49" fontId="5" fillId="2" borderId="5" applyAlignment="1" pivotButton="0" quotePrefix="0" xfId="0">
      <alignment horizontal="center" vertical="center"/>
    </xf>
    <xf numFmtId="49" fontId="5" fillId="2" borderId="58" applyAlignment="1" pivotButton="0" quotePrefix="0" xfId="0">
      <alignment horizontal="center" vertical="center"/>
    </xf>
    <xf numFmtId="0" fontId="0" fillId="0" borderId="59" pivotButton="0" quotePrefix="0" xfId="0"/>
    <xf numFmtId="0" fontId="0" fillId="0" borderId="60" pivotButton="0" quotePrefix="0" xfId="0"/>
    <xf numFmtId="49" fontId="21" fillId="8" borderId="5" applyAlignment="1" pivotButton="0" quotePrefix="0" xfId="0">
      <alignment horizontal="center" vertical="center" wrapText="1"/>
    </xf>
    <xf numFmtId="49" fontId="21" fillId="2" borderId="5" applyAlignment="1" pivotButton="0" quotePrefix="0" xfId="0">
      <alignment horizontal="center" vertical="center" wrapText="1"/>
    </xf>
    <xf numFmtId="49" fontId="21" fillId="2" borderId="5" applyAlignment="1" pivotButton="0" quotePrefix="0" xfId="0">
      <alignment horizontal="center" vertical="center"/>
    </xf>
    <xf numFmtId="49" fontId="12" fillId="2" borderId="1" applyAlignment="1" pivotButton="0" quotePrefix="0" xfId="0">
      <alignment horizontal="center"/>
    </xf>
    <xf numFmtId="49" fontId="2" fillId="2" borderId="4" applyAlignment="1" pivotButton="0" quotePrefix="0" xfId="0">
      <alignment horizontal="center"/>
    </xf>
    <xf numFmtId="0" fontId="0" fillId="0" borderId="69" pivotButton="0" quotePrefix="0" xfId="0"/>
    <xf numFmtId="0" fontId="0" fillId="0" borderId="70" pivotButton="0" quotePrefix="0" xfId="0"/>
    <xf numFmtId="0" fontId="28" fillId="15" borderId="76" applyAlignment="1" pivotButton="0" quotePrefix="0" xfId="0">
      <alignment horizontal="center" vertical="center"/>
    </xf>
    <xf numFmtId="0" fontId="0" fillId="0" borderId="76" pivotButton="0" quotePrefix="0" xfId="0"/>
    <xf numFmtId="0" fontId="26" fillId="0" borderId="76" pivotButton="0" quotePrefix="0" xfId="0"/>
    <xf numFmtId="0" fontId="26" fillId="0" borderId="0" pivotButton="0" quotePrefix="0" xfId="0"/>
    <xf numFmtId="0" fontId="26" fillId="16" borderId="76" applyAlignment="1" pivotButton="0" quotePrefix="0" xfId="0">
      <alignment horizontal="center"/>
    </xf>
    <xf numFmtId="0" fontId="0" fillId="0" borderId="76" applyAlignment="1" pivotButton="0" quotePrefix="0" xfId="0">
      <alignment horizontal="center"/>
    </xf>
    <xf numFmtId="0" fontId="27" fillId="0" borderId="76" applyAlignment="1" pivotButton="0" quotePrefix="0" xfId="0">
      <alignment horizontal="center" vertical="center"/>
    </xf>
  </cellXfs>
  <cellStyles count="2">
    <cellStyle name="Normal" xfId="0" builtinId="0"/>
    <cellStyle name="Normal 2" xfId="1"/>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1F497D"/>
      <rgbColor rgb="FFFFCC00"/>
      <rgbColor rgb="FFFFC000"/>
      <rgbColor rgb="FF92D050"/>
      <rgbColor rgb="FF366092"/>
      <rgbColor rgb="FFCCFF99"/>
      <rgbColor rgb="FFDD0806"/>
      <rgbColor rgb="FFFCF305"/>
      <rgbColor rgb="FF4EE257"/>
      <rgbColor rgb="FF888888"/>
      <rgbColor rgb="FF1A1A1A"/>
      <rgbColor rgb="FFB7B7B7"/>
      <rgbColor rgb="FF666699"/>
      <rgbColor rgb="FFDD2D32"/>
      <rgbColor rgb="FF333333"/>
      <rgbColor rgb="FF757575"/>
      <rgbColor rgb="FFBFBFBF"/>
      <rgbColor rgb="FF333399"/>
      <rgbColor rgb="FFFDE9D9"/>
      <rgbColor rgb="FFFF0000"/>
      <rgbColor rgb="FF808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Z15"/>
  <sheetViews>
    <sheetView showGridLines="0" workbookViewId="0">
      <selection activeCell="A1" sqref="A1"/>
    </sheetView>
  </sheetViews>
  <sheetFormatPr baseColWidth="8" defaultColWidth="12.6640625" defaultRowHeight="15" customHeight="1"/>
  <cols>
    <col width="130.44140625" customWidth="1" style="1" min="1" max="1"/>
    <col width="10.88671875" customWidth="1" style="1" min="2" max="6"/>
    <col width="12.44140625" customWidth="1" style="1" min="7" max="26"/>
    <col width="12.6640625" customWidth="1" style="1" min="27" max="28"/>
    <col width="12.6640625" customWidth="1" style="1" min="29" max="16384"/>
  </cols>
  <sheetData>
    <row r="1" ht="36.75" customHeight="1" s="1">
      <c r="A1" s="2" t="inlineStr">
        <is>
          <t>NOTE:</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38.25" customHeight="1" s="1">
      <c r="A2" s="4" t="inlineStr">
        <is>
          <t>1. Fill course details in course abstract sheet</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8.25" customHeight="1" s="1">
      <c r="A3" s="4" t="inlineStr">
        <is>
          <t>2. Fill CO-PO details in CO-PO mapping sheet as given in syllabus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8.25" customHeight="1" s="1">
      <c r="A4" s="4" t="inlineStr">
        <is>
          <t>3. Fill students register number and name in CT1-3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8.25" customHeight="1" s="1">
      <c r="A5" s="4" t="inlineStr">
        <is>
          <t>4. Map questions to COs for each CLAT</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38.25" customHeight="1" s="1">
      <c r="A6" s="4" t="inlineStr">
        <is>
          <t>5. Allot mark weightage for each question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25" customHeight="1" s="1">
      <c r="A7" s="6" t="inlineStr">
        <is>
          <t>6. Fill marks for each question. For either-or questions, post marks for the students whi have attempted that question, else leave BLANK</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38.25" customHeight="1" s="1">
      <c r="A8" s="6" t="inlineStr">
        <is>
          <t>7. Fill assignment/mooc/seminar max marks and awardedmarks  in CT4 sheet. MOOC marks to be distributed across all COs with equal weight.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8.25" customHeight="1" s="1">
      <c r="A9" s="4" t="inlineStr">
        <is>
          <t>8. Fill EoC survey max Scores and awarded scores in EOC Survey sheet</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8.25" customHeight="1" s="1">
      <c r="A10" s="4" t="inlineStr">
        <is>
          <t>9. Fill Final exam grades in University Exam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8.25" customHeight="1" s="1">
      <c r="A11" s="4" t="inlineStr">
        <is>
          <t>10. Chart sheet has the final score</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8.25" customHeight="1" s="1">
      <c r="A12" s="4" t="inlineStr">
        <is>
          <t>11. Fill CO &amp; PO attainment details in course abstarct (Each course incharge)</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38.25" customHeight="1" s="1">
      <c r="A13" s="4" t="inlineStr">
        <is>
          <t>12. Batch abstract to be maintained by the batch incharges</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38.25" customHeight="1" s="1">
      <c r="A14" s="4" t="inlineStr">
        <is>
          <t>13. Take print out of Course abstract, CO-PO attainment charts sheet</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38.25" customHeight="1" s="1">
      <c r="A15" s="4" t="inlineStr">
        <is>
          <t>14. Take print out of microanalysis for each CLAT, by hiding the other CLAT marks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sheetData>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2.6640625" customWidth="1" style="1" min="2" max="2"/>
    <col width="14.88671875" customWidth="1" style="1" min="3" max="3"/>
    <col width="26.88671875" customWidth="1" style="1" min="4" max="4"/>
    <col width="24.21875" customWidth="1" style="1" min="5" max="5"/>
    <col width="6.6640625" customWidth="1" style="1" min="6" max="20"/>
    <col width="14.44140625" customWidth="1" style="1" min="21" max="26"/>
    <col width="12.6640625" customWidth="1" style="1" min="27" max="28"/>
    <col width="12.6640625" customWidth="1" style="1" min="29" max="16384"/>
  </cols>
  <sheetData>
    <row r="1" ht="13.5" customHeight="1" s="1">
      <c r="A1" s="211" t="inlineStr">
        <is>
          <t>SRM  INSTITUTE  OF  SCIENCE  AND  TECHNOLOGY</t>
        </is>
      </c>
      <c r="B1" s="212" t="n"/>
      <c r="C1" s="212" t="n"/>
      <c r="D1" s="212" t="n"/>
      <c r="E1" s="212" t="n"/>
      <c r="F1" s="212" t="n"/>
      <c r="G1" s="212" t="n"/>
      <c r="H1" s="212" t="n"/>
      <c r="I1" s="212" t="n"/>
      <c r="J1" s="212" t="n"/>
      <c r="K1" s="212" t="n"/>
      <c r="L1" s="212" t="n"/>
      <c r="M1" s="212" t="n"/>
      <c r="N1" s="212" t="n"/>
      <c r="O1" s="212" t="n"/>
      <c r="P1" s="212" t="n"/>
      <c r="Q1" s="212" t="n"/>
      <c r="R1" s="212" t="n"/>
      <c r="S1" s="212" t="n"/>
      <c r="T1" s="213" t="n"/>
      <c r="U1" s="8" t="n"/>
      <c r="V1" s="8" t="n"/>
      <c r="W1" s="8" t="n"/>
      <c r="X1" s="8" t="n"/>
      <c r="Y1" s="8" t="n"/>
      <c r="Z1" s="8" t="n"/>
    </row>
    <row r="2" ht="13.5" customHeight="1" s="1">
      <c r="A2" s="211" t="inlineStr">
        <is>
          <t>COLLEGE OF ENGINEERING AND TECHNOLOGY</t>
        </is>
      </c>
      <c r="B2" s="212" t="n"/>
      <c r="C2" s="212" t="n"/>
      <c r="D2" s="212" t="n"/>
      <c r="E2" s="212" t="n"/>
      <c r="F2" s="212" t="n"/>
      <c r="G2" s="212" t="n"/>
      <c r="H2" s="212" t="n"/>
      <c r="I2" s="212" t="n"/>
      <c r="J2" s="212" t="n"/>
      <c r="K2" s="212" t="n"/>
      <c r="L2" s="212" t="n"/>
      <c r="M2" s="212" t="n"/>
      <c r="N2" s="212" t="n"/>
      <c r="O2" s="212" t="n"/>
      <c r="P2" s="212" t="n"/>
      <c r="Q2" s="212" t="n"/>
      <c r="R2" s="212" t="n"/>
      <c r="S2" s="212" t="n"/>
      <c r="T2" s="213" t="n"/>
      <c r="U2" s="8" t="n"/>
      <c r="V2" s="8" t="n"/>
      <c r="W2" s="8" t="n"/>
      <c r="X2" s="8" t="n"/>
      <c r="Y2" s="8" t="n"/>
      <c r="Z2" s="8" t="n"/>
    </row>
    <row r="3" ht="19.5" customHeight="1" s="1">
      <c r="A3" s="9" t="inlineStr">
        <is>
          <t>Department  :</t>
        </is>
      </c>
      <c r="B3" s="10" t="n"/>
      <c r="C3" s="214" t="n"/>
      <c r="D3" s="213" t="n"/>
      <c r="E3" s="10" t="n"/>
      <c r="F3" s="10" t="n"/>
      <c r="G3" s="10" t="n"/>
      <c r="H3" s="10" t="n"/>
      <c r="I3" s="10" t="n"/>
      <c r="J3" s="10" t="n"/>
      <c r="K3" s="10" t="n"/>
      <c r="L3" s="10" t="n"/>
      <c r="M3" s="10" t="n"/>
      <c r="N3" s="10" t="n"/>
      <c r="O3" s="10" t="n"/>
      <c r="P3" s="10" t="n"/>
      <c r="Q3" s="10" t="n"/>
      <c r="R3" s="10" t="n"/>
      <c r="S3" s="10" t="n"/>
      <c r="T3" s="10" t="n"/>
      <c r="U3" s="8" t="n"/>
      <c r="V3" s="8" t="n"/>
      <c r="W3" s="8" t="n"/>
      <c r="X3" s="8" t="n"/>
      <c r="Y3" s="8" t="n"/>
      <c r="Z3" s="8" t="n"/>
    </row>
    <row r="4" ht="19.5" customHeight="1" s="1">
      <c r="A4" s="9" t="inlineStr">
        <is>
          <t>Degree :</t>
        </is>
      </c>
      <c r="B4" s="10" t="n"/>
      <c r="C4" s="11" t="n"/>
      <c r="D4" s="10" t="n"/>
      <c r="E4" s="11" t="inlineStr">
        <is>
          <t>Programme:</t>
        </is>
      </c>
      <c r="F4" s="11" t="n"/>
      <c r="G4" s="10" t="n"/>
      <c r="H4" s="10" t="n"/>
      <c r="I4" s="10" t="n"/>
      <c r="J4" s="10" t="n"/>
      <c r="K4" s="12" t="n"/>
      <c r="L4" s="9" t="inlineStr">
        <is>
          <t>Batch :</t>
        </is>
      </c>
      <c r="M4" s="10" t="n"/>
      <c r="N4" s="11" t="n"/>
      <c r="O4" s="10" t="n"/>
      <c r="P4" s="10" t="n"/>
      <c r="Q4" s="10" t="n"/>
      <c r="R4" s="10" t="n"/>
      <c r="S4" s="10" t="n"/>
      <c r="T4" s="10" t="n"/>
      <c r="U4" s="8" t="n"/>
      <c r="V4" s="8" t="n"/>
      <c r="W4" s="8" t="n"/>
      <c r="X4" s="8" t="n"/>
      <c r="Y4" s="8" t="n"/>
      <c r="Z4" s="8" t="n"/>
    </row>
    <row r="5" ht="19.5" customHeight="1" s="1">
      <c r="A5" s="214" t="inlineStr">
        <is>
          <t>Year Incharge :</t>
        </is>
      </c>
      <c r="B5" s="13" t="n"/>
      <c r="C5" s="14" t="n"/>
      <c r="D5" s="13" t="n"/>
      <c r="E5" s="8" t="n"/>
      <c r="F5" s="8" t="n"/>
      <c r="G5" s="8" t="n"/>
      <c r="H5" s="8" t="n"/>
      <c r="I5" s="8" t="n"/>
      <c r="J5" s="8" t="n"/>
      <c r="K5" s="13" t="n"/>
      <c r="L5" s="13" t="n"/>
      <c r="M5" s="13" t="n"/>
      <c r="N5" s="13" t="n"/>
      <c r="O5" s="13" t="n"/>
      <c r="P5" s="13" t="n"/>
      <c r="Q5" s="13" t="n"/>
      <c r="R5" s="13" t="n"/>
      <c r="S5" s="13" t="n"/>
      <c r="T5" s="13" t="n"/>
      <c r="U5" s="8" t="n"/>
      <c r="V5" s="8" t="n"/>
      <c r="W5" s="8" t="n"/>
      <c r="X5" s="8" t="n"/>
      <c r="Y5" s="8" t="n"/>
      <c r="Z5" s="8" t="n"/>
    </row>
    <row r="6" ht="13.5" customHeight="1" s="1">
      <c r="A6" s="8" t="n"/>
      <c r="B6" s="15" t="n"/>
      <c r="C6" s="15" t="n"/>
      <c r="D6" s="8" t="n"/>
      <c r="E6" s="8" t="n"/>
      <c r="F6" s="16" t="n"/>
      <c r="G6" s="16" t="n"/>
      <c r="H6" s="16" t="n"/>
      <c r="I6" s="16" t="n"/>
      <c r="J6" s="16" t="n"/>
      <c r="K6" s="17" t="n"/>
      <c r="L6" s="16" t="n"/>
      <c r="M6" s="16" t="n"/>
      <c r="N6" s="16" t="n"/>
      <c r="O6" s="16" t="n"/>
      <c r="P6" s="16" t="n"/>
      <c r="Q6" s="8" t="n"/>
      <c r="R6" s="8" t="n"/>
      <c r="S6" s="8" t="n"/>
      <c r="T6" s="8" t="n"/>
      <c r="U6" s="8" t="n"/>
      <c r="V6" s="8" t="n"/>
      <c r="W6" s="8" t="n"/>
      <c r="X6" s="8" t="n"/>
      <c r="Y6" s="8" t="n"/>
      <c r="Z6" s="8" t="n"/>
    </row>
    <row r="7" ht="13.5" customHeight="1" s="1">
      <c r="A7" s="18" t="inlineStr">
        <is>
          <t>PO ATTAINMENT</t>
        </is>
      </c>
      <c r="B7" s="19" t="n"/>
      <c r="C7" s="20" t="n"/>
      <c r="D7" s="20" t="n"/>
      <c r="E7" s="21" t="n"/>
      <c r="F7" s="21" t="n"/>
      <c r="G7" s="21" t="n"/>
      <c r="H7" s="21" t="n"/>
      <c r="I7" s="21" t="n"/>
      <c r="J7" s="22" t="n"/>
      <c r="K7" s="21" t="n"/>
      <c r="L7" s="21" t="n"/>
      <c r="M7" s="21" t="n"/>
      <c r="N7" s="21" t="n"/>
      <c r="O7" s="21" t="n"/>
      <c r="P7" s="20" t="n"/>
      <c r="Q7" s="20" t="n"/>
      <c r="R7" s="20" t="n"/>
      <c r="S7" s="20" t="n"/>
      <c r="T7" s="20" t="n"/>
      <c r="U7" s="8" t="n"/>
      <c r="V7" s="8" t="n"/>
      <c r="W7" s="8" t="n"/>
      <c r="X7" s="8" t="n"/>
      <c r="Y7" s="8" t="n"/>
      <c r="Z7" s="8" t="n"/>
    </row>
    <row r="8" ht="13.5" customHeight="1" s="1">
      <c r="A8" s="23" t="inlineStr">
        <is>
          <t>S. No</t>
        </is>
      </c>
      <c r="B8" s="23" t="inlineStr">
        <is>
          <t>Semester</t>
        </is>
      </c>
      <c r="C8" s="24" t="inlineStr">
        <is>
          <t>COURSE CODE</t>
        </is>
      </c>
      <c r="D8" s="24" t="inlineStr">
        <is>
          <t>COURSE TITLE</t>
        </is>
      </c>
      <c r="E8" s="23" t="inlineStr">
        <is>
          <t>Faculty Incharge</t>
        </is>
      </c>
      <c r="F8" s="25" t="inlineStr">
        <is>
          <t>PO1</t>
        </is>
      </c>
      <c r="G8" s="26" t="inlineStr">
        <is>
          <t>PO2</t>
        </is>
      </c>
      <c r="H8" s="26" t="inlineStr">
        <is>
          <t>PO3</t>
        </is>
      </c>
      <c r="I8" s="26" t="inlineStr">
        <is>
          <t>PO4</t>
        </is>
      </c>
      <c r="J8" s="26" t="inlineStr">
        <is>
          <t>PO5</t>
        </is>
      </c>
      <c r="K8" s="26" t="inlineStr">
        <is>
          <t>PO6</t>
        </is>
      </c>
      <c r="L8" s="26" t="inlineStr">
        <is>
          <t>PO7</t>
        </is>
      </c>
      <c r="M8" s="26" t="inlineStr">
        <is>
          <t>PO8</t>
        </is>
      </c>
      <c r="N8" s="26" t="inlineStr">
        <is>
          <t>PO9</t>
        </is>
      </c>
      <c r="O8" s="26" t="inlineStr">
        <is>
          <t>PO10</t>
        </is>
      </c>
      <c r="P8" s="26" t="inlineStr">
        <is>
          <t>PO11</t>
        </is>
      </c>
      <c r="Q8" s="26" t="inlineStr">
        <is>
          <t>PO12</t>
        </is>
      </c>
      <c r="R8" s="26" t="inlineStr">
        <is>
          <t>PSO1</t>
        </is>
      </c>
      <c r="S8" s="26" t="inlineStr">
        <is>
          <t>PSO2</t>
        </is>
      </c>
      <c r="T8" s="26" t="inlineStr">
        <is>
          <t>PSO3</t>
        </is>
      </c>
      <c r="U8" s="27" t="n"/>
      <c r="V8" s="8" t="n"/>
      <c r="W8" s="8" t="n"/>
      <c r="X8" s="8" t="n"/>
      <c r="Y8" s="8" t="n"/>
      <c r="Z8" s="8" t="n"/>
    </row>
    <row r="9" ht="13.5" customHeight="1" s="1">
      <c r="A9" s="59" t="n">
        <v>1</v>
      </c>
      <c r="B9" s="28" t="inlineStr">
        <is>
          <t>I</t>
        </is>
      </c>
      <c r="C9" s="29" t="n"/>
      <c r="D9" s="29" t="n"/>
      <c r="E9" s="30" t="n"/>
      <c r="F9" s="31" t="n"/>
      <c r="G9" s="32" t="n"/>
      <c r="H9" s="32" t="n"/>
      <c r="I9" s="32" t="n"/>
      <c r="J9" s="32" t="n"/>
      <c r="K9" s="32" t="n"/>
      <c r="L9" s="165" t="n"/>
      <c r="M9" s="32" t="n"/>
      <c r="N9" s="32" t="n"/>
      <c r="O9" s="32" t="n"/>
      <c r="P9" s="32" t="n"/>
      <c r="Q9" s="32" t="n"/>
      <c r="R9" s="31" t="n"/>
      <c r="S9" s="31" t="n"/>
      <c r="T9" s="31" t="n"/>
      <c r="U9" s="27" t="n"/>
      <c r="V9" s="8" t="n"/>
      <c r="W9" s="8" t="n"/>
      <c r="X9" s="8" t="n"/>
      <c r="Y9" s="8" t="n"/>
      <c r="Z9" s="8" t="n"/>
    </row>
    <row r="10" ht="13.5" customHeight="1" s="1">
      <c r="A10" s="59" t="n">
        <v>2</v>
      </c>
      <c r="B10" s="28" t="inlineStr">
        <is>
          <t>I</t>
        </is>
      </c>
      <c r="C10" s="29" t="n"/>
      <c r="D10" s="29" t="n"/>
      <c r="E10" s="30" t="n"/>
      <c r="F10" s="31" t="n"/>
      <c r="G10" s="32" t="n"/>
      <c r="H10" s="32" t="n"/>
      <c r="I10" s="32" t="n"/>
      <c r="J10" s="32" t="n"/>
      <c r="K10" s="32" t="n"/>
      <c r="L10" s="165" t="n"/>
      <c r="M10" s="32" t="n"/>
      <c r="N10" s="32" t="n"/>
      <c r="O10" s="32" t="n"/>
      <c r="P10" s="32" t="n"/>
      <c r="Q10" s="32" t="n"/>
      <c r="R10" s="31" t="n"/>
      <c r="S10" s="31" t="n"/>
      <c r="T10" s="31" t="n"/>
      <c r="U10" s="27" t="n"/>
      <c r="V10" s="8" t="n"/>
      <c r="W10" s="8" t="n"/>
      <c r="X10" s="8" t="n"/>
      <c r="Y10" s="8" t="n"/>
      <c r="Z10" s="8" t="n"/>
    </row>
    <row r="11" ht="13.5" customHeight="1" s="1">
      <c r="A11" s="59" t="n">
        <v>3</v>
      </c>
      <c r="B11" s="28" t="inlineStr">
        <is>
          <t>I</t>
        </is>
      </c>
      <c r="C11" s="29" t="n"/>
      <c r="D11" s="29" t="n"/>
      <c r="E11" s="30" t="n"/>
      <c r="F11" s="31" t="n"/>
      <c r="G11" s="32" t="n"/>
      <c r="H11" s="32" t="n"/>
      <c r="I11" s="32" t="n"/>
      <c r="J11" s="32" t="n"/>
      <c r="K11" s="32" t="n"/>
      <c r="L11" s="165" t="n"/>
      <c r="M11" s="32" t="n"/>
      <c r="N11" s="32" t="n"/>
      <c r="O11" s="32" t="n"/>
      <c r="P11" s="32" t="n"/>
      <c r="Q11" s="32" t="n"/>
      <c r="R11" s="31" t="n"/>
      <c r="S11" s="31" t="n"/>
      <c r="T11" s="31" t="n"/>
      <c r="U11" s="27" t="n"/>
      <c r="V11" s="8" t="n"/>
      <c r="W11" s="8" t="n"/>
      <c r="X11" s="8" t="n"/>
      <c r="Y11" s="8" t="n"/>
      <c r="Z11" s="8" t="n"/>
    </row>
    <row r="12" ht="13.5" customHeight="1" s="1">
      <c r="A12" s="59" t="n">
        <v>4</v>
      </c>
      <c r="B12" s="28" t="inlineStr">
        <is>
          <t>I</t>
        </is>
      </c>
      <c r="C12" s="29" t="n"/>
      <c r="D12" s="29" t="n"/>
      <c r="E12" s="30" t="n"/>
      <c r="F12" s="31" t="n"/>
      <c r="G12" s="32" t="n"/>
      <c r="H12" s="32" t="n"/>
      <c r="I12" s="32" t="n"/>
      <c r="J12" s="32" t="n"/>
      <c r="K12" s="32" t="n"/>
      <c r="L12" s="165" t="n"/>
      <c r="M12" s="32" t="n"/>
      <c r="N12" s="32" t="n"/>
      <c r="O12" s="32" t="n"/>
      <c r="P12" s="32" t="n"/>
      <c r="Q12" s="32" t="n"/>
      <c r="R12" s="31" t="n"/>
      <c r="S12" s="31" t="n"/>
      <c r="T12" s="31" t="n"/>
      <c r="U12" s="27" t="n"/>
      <c r="V12" s="8" t="n"/>
      <c r="W12" s="8" t="n"/>
      <c r="X12" s="8" t="n"/>
      <c r="Y12" s="8" t="n"/>
      <c r="Z12" s="8" t="n"/>
    </row>
    <row r="13" ht="13.5" customHeight="1" s="1">
      <c r="A13" s="59" t="n">
        <v>5</v>
      </c>
      <c r="B13" s="28" t="inlineStr">
        <is>
          <t>I</t>
        </is>
      </c>
      <c r="C13" s="29" t="n"/>
      <c r="D13" s="29" t="n"/>
      <c r="E13" s="30" t="n"/>
      <c r="F13" s="31" t="n"/>
      <c r="G13" s="32" t="n"/>
      <c r="H13" s="32" t="n"/>
      <c r="I13" s="32" t="n"/>
      <c r="J13" s="32" t="n"/>
      <c r="K13" s="32" t="n"/>
      <c r="L13" s="165" t="n"/>
      <c r="M13" s="32" t="n"/>
      <c r="N13" s="32" t="n"/>
      <c r="O13" s="32" t="n"/>
      <c r="P13" s="32" t="n"/>
      <c r="Q13" s="32" t="n"/>
      <c r="R13" s="31" t="n"/>
      <c r="S13" s="31" t="n"/>
      <c r="T13" s="31" t="n"/>
      <c r="U13" s="27" t="n"/>
      <c r="V13" s="8" t="n"/>
      <c r="W13" s="8" t="n"/>
      <c r="X13" s="8" t="n"/>
      <c r="Y13" s="8" t="n"/>
      <c r="Z13" s="8" t="n"/>
    </row>
    <row r="14" ht="13.5" customHeight="1" s="1">
      <c r="A14" s="59" t="n">
        <v>6</v>
      </c>
      <c r="B14" s="28" t="inlineStr">
        <is>
          <t>I</t>
        </is>
      </c>
      <c r="C14" s="29" t="n"/>
      <c r="D14" s="29" t="n"/>
      <c r="E14" s="30" t="n"/>
      <c r="F14" s="31" t="n"/>
      <c r="G14" s="32" t="n"/>
      <c r="H14" s="32" t="n"/>
      <c r="I14" s="32" t="n"/>
      <c r="J14" s="32" t="n"/>
      <c r="K14" s="32" t="n"/>
      <c r="L14" s="165" t="n"/>
      <c r="M14" s="32" t="n"/>
      <c r="N14" s="32" t="n"/>
      <c r="O14" s="32" t="n"/>
      <c r="P14" s="32" t="n"/>
      <c r="Q14" s="32" t="n"/>
      <c r="R14" s="31" t="n"/>
      <c r="S14" s="31" t="n"/>
      <c r="T14" s="31" t="n"/>
      <c r="U14" s="27" t="n"/>
      <c r="V14" s="8" t="n"/>
      <c r="W14" s="8" t="n"/>
      <c r="X14" s="8" t="n"/>
      <c r="Y14" s="8" t="n"/>
      <c r="Z14" s="8" t="n"/>
    </row>
    <row r="15" ht="13.5" customHeight="1" s="1">
      <c r="A15" s="59" t="n">
        <v>7</v>
      </c>
      <c r="B15" s="28" t="inlineStr">
        <is>
          <t>I</t>
        </is>
      </c>
      <c r="C15" s="29" t="n"/>
      <c r="D15" s="29" t="n"/>
      <c r="E15" s="30" t="n"/>
      <c r="F15" s="31" t="n"/>
      <c r="G15" s="32" t="n"/>
      <c r="H15" s="32" t="n"/>
      <c r="I15" s="32" t="n"/>
      <c r="J15" s="32" t="n"/>
      <c r="K15" s="32" t="n"/>
      <c r="L15" s="165" t="n"/>
      <c r="M15" s="32" t="n"/>
      <c r="N15" s="32" t="n"/>
      <c r="O15" s="32" t="n"/>
      <c r="P15" s="32" t="n"/>
      <c r="Q15" s="32" t="n"/>
      <c r="R15" s="31" t="n"/>
      <c r="S15" s="31" t="n"/>
      <c r="T15" s="31" t="n"/>
      <c r="U15" s="27" t="n"/>
      <c r="V15" s="8" t="n"/>
      <c r="W15" s="8" t="n"/>
      <c r="X15" s="8" t="n"/>
      <c r="Y15" s="8" t="n"/>
      <c r="Z15" s="8" t="n"/>
    </row>
    <row r="16" ht="13.5" customHeight="1" s="1">
      <c r="A16" s="33" t="n">
        <v>8</v>
      </c>
      <c r="B16" s="28" t="inlineStr">
        <is>
          <t>I</t>
        </is>
      </c>
      <c r="C16" s="29" t="n"/>
      <c r="D16" s="29" t="n"/>
      <c r="E16" s="30" t="n"/>
      <c r="F16" s="31" t="n"/>
      <c r="G16" s="32" t="n"/>
      <c r="H16" s="32" t="n"/>
      <c r="I16" s="32" t="n"/>
      <c r="J16" s="32" t="n"/>
      <c r="K16" s="32" t="n"/>
      <c r="L16" s="165" t="n"/>
      <c r="M16" s="32" t="n"/>
      <c r="N16" s="32" t="n"/>
      <c r="O16" s="32" t="n"/>
      <c r="P16" s="32" t="n"/>
      <c r="Q16" s="32" t="n"/>
      <c r="R16" s="31" t="n"/>
      <c r="S16" s="31" t="n"/>
      <c r="T16" s="31" t="n"/>
      <c r="U16" s="27" t="n"/>
      <c r="V16" s="8" t="n"/>
      <c r="W16" s="8" t="n"/>
      <c r="X16" s="8" t="n"/>
      <c r="Y16" s="8" t="n"/>
      <c r="Z16" s="8" t="n"/>
    </row>
    <row r="17" ht="13.5" customHeight="1" s="1">
      <c r="A17" s="59" t="n">
        <v>9</v>
      </c>
      <c r="B17" s="34" t="inlineStr">
        <is>
          <t>II</t>
        </is>
      </c>
      <c r="C17" s="31" t="n"/>
      <c r="D17" s="31" t="n"/>
      <c r="E17" s="32" t="n"/>
      <c r="F17" s="32" t="n"/>
      <c r="G17" s="32" t="n"/>
      <c r="H17" s="32" t="n"/>
      <c r="I17" s="32" t="n"/>
      <c r="J17" s="165" t="n"/>
      <c r="K17" s="32" t="n"/>
      <c r="L17" s="32" t="n"/>
      <c r="M17" s="32" t="n"/>
      <c r="N17" s="32" t="n"/>
      <c r="O17" s="32" t="n"/>
      <c r="P17" s="31" t="n"/>
      <c r="Q17" s="31" t="n"/>
      <c r="R17" s="31" t="n"/>
      <c r="S17" s="31" t="n"/>
      <c r="T17" s="31" t="n"/>
      <c r="U17" s="27" t="n"/>
      <c r="V17" s="8" t="n"/>
      <c r="W17" s="8" t="n"/>
      <c r="X17" s="8" t="n"/>
      <c r="Y17" s="8" t="n"/>
      <c r="Z17" s="8" t="n"/>
    </row>
    <row r="18" ht="13.5" customHeight="1" s="1">
      <c r="A18" s="33" t="n">
        <v>10</v>
      </c>
      <c r="B18" s="34" t="inlineStr">
        <is>
          <t>II</t>
        </is>
      </c>
      <c r="C18" s="31" t="n"/>
      <c r="D18" s="31" t="n"/>
      <c r="E18" s="32" t="n"/>
      <c r="F18" s="32" t="n"/>
      <c r="G18" s="32" t="n"/>
      <c r="H18" s="32" t="n"/>
      <c r="I18" s="32" t="n"/>
      <c r="J18" s="165" t="n"/>
      <c r="K18" s="32" t="n"/>
      <c r="L18" s="32" t="n"/>
      <c r="M18" s="32" t="n"/>
      <c r="N18" s="32" t="n"/>
      <c r="O18" s="32" t="n"/>
      <c r="P18" s="31" t="n"/>
      <c r="Q18" s="31" t="n"/>
      <c r="R18" s="31" t="n"/>
      <c r="S18" s="31" t="n"/>
      <c r="T18" s="31" t="n"/>
      <c r="U18" s="27" t="n"/>
      <c r="V18" s="8" t="n"/>
      <c r="W18" s="8" t="n"/>
      <c r="X18" s="8" t="n"/>
      <c r="Y18" s="8" t="n"/>
      <c r="Z18" s="8" t="n"/>
    </row>
    <row r="19" ht="13.5" customHeight="1" s="1">
      <c r="A19" s="59" t="n">
        <v>11</v>
      </c>
      <c r="B19" s="34" t="inlineStr">
        <is>
          <t>II</t>
        </is>
      </c>
      <c r="C19" s="31" t="n"/>
      <c r="D19" s="31" t="n"/>
      <c r="E19" s="32" t="n"/>
      <c r="F19" s="32" t="n"/>
      <c r="G19" s="32" t="n"/>
      <c r="H19" s="32" t="n"/>
      <c r="I19" s="32" t="n"/>
      <c r="J19" s="165" t="n"/>
      <c r="K19" s="32" t="n"/>
      <c r="L19" s="32" t="n"/>
      <c r="M19" s="32" t="n"/>
      <c r="N19" s="32" t="n"/>
      <c r="O19" s="32" t="n"/>
      <c r="P19" s="31" t="n"/>
      <c r="Q19" s="31" t="n"/>
      <c r="R19" s="31" t="n"/>
      <c r="S19" s="31" t="n"/>
      <c r="T19" s="31" t="n"/>
      <c r="U19" s="27" t="n"/>
      <c r="V19" s="8" t="n"/>
      <c r="W19" s="8" t="n"/>
      <c r="X19" s="8" t="n"/>
      <c r="Y19" s="8" t="n"/>
      <c r="Z19" s="8" t="n"/>
    </row>
    <row r="20" ht="13.5" customHeight="1" s="1">
      <c r="A20" s="33" t="n">
        <v>12</v>
      </c>
      <c r="B20" s="34" t="inlineStr">
        <is>
          <t>II</t>
        </is>
      </c>
      <c r="C20" s="31" t="n"/>
      <c r="D20" s="31" t="n"/>
      <c r="E20" s="32" t="n"/>
      <c r="F20" s="32" t="n"/>
      <c r="G20" s="32" t="n"/>
      <c r="H20" s="32" t="n"/>
      <c r="I20" s="32" t="n"/>
      <c r="J20" s="165" t="n"/>
      <c r="K20" s="32" t="n"/>
      <c r="L20" s="32" t="n"/>
      <c r="M20" s="32" t="n"/>
      <c r="N20" s="32" t="n"/>
      <c r="O20" s="32" t="n"/>
      <c r="P20" s="31" t="n"/>
      <c r="Q20" s="31" t="n"/>
      <c r="R20" s="31" t="n"/>
      <c r="S20" s="31" t="n"/>
      <c r="T20" s="31" t="n"/>
      <c r="U20" s="27" t="n"/>
      <c r="V20" s="8" t="n"/>
      <c r="W20" s="8" t="n"/>
      <c r="X20" s="8" t="n"/>
      <c r="Y20" s="8" t="n"/>
      <c r="Z20" s="8" t="n"/>
    </row>
    <row r="21" ht="13.5" customHeight="1" s="1">
      <c r="A21" s="59" t="n">
        <v>13</v>
      </c>
      <c r="B21" s="34" t="inlineStr">
        <is>
          <t>II</t>
        </is>
      </c>
      <c r="C21" s="31" t="n"/>
      <c r="D21" s="31" t="n"/>
      <c r="E21" s="32" t="n"/>
      <c r="F21" s="32" t="n"/>
      <c r="G21" s="32" t="n"/>
      <c r="H21" s="32" t="n"/>
      <c r="I21" s="32" t="n"/>
      <c r="J21" s="165" t="n"/>
      <c r="K21" s="32" t="n"/>
      <c r="L21" s="32" t="n"/>
      <c r="M21" s="32" t="n"/>
      <c r="N21" s="32" t="n"/>
      <c r="O21" s="32" t="n"/>
      <c r="P21" s="31" t="n"/>
      <c r="Q21" s="31" t="n"/>
      <c r="R21" s="31" t="n"/>
      <c r="S21" s="31" t="n"/>
      <c r="T21" s="31" t="n"/>
      <c r="U21" s="27" t="n"/>
      <c r="V21" s="8" t="n"/>
      <c r="W21" s="8" t="n"/>
      <c r="X21" s="8" t="n"/>
      <c r="Y21" s="8" t="n"/>
      <c r="Z21" s="8" t="n"/>
    </row>
    <row r="22" ht="13.5" customHeight="1" s="1">
      <c r="A22" s="33" t="n">
        <v>14</v>
      </c>
      <c r="B22" s="34" t="inlineStr">
        <is>
          <t>II</t>
        </is>
      </c>
      <c r="C22" s="31" t="n"/>
      <c r="D22" s="31" t="n"/>
      <c r="E22" s="32" t="n"/>
      <c r="F22" s="32" t="n"/>
      <c r="G22" s="32" t="n"/>
      <c r="H22" s="32" t="n"/>
      <c r="I22" s="32" t="n"/>
      <c r="J22" s="165" t="n"/>
      <c r="K22" s="32" t="n"/>
      <c r="L22" s="32" t="n"/>
      <c r="M22" s="32" t="n"/>
      <c r="N22" s="32" t="n"/>
      <c r="O22" s="32" t="n"/>
      <c r="P22" s="31" t="n"/>
      <c r="Q22" s="31" t="n"/>
      <c r="R22" s="31" t="n"/>
      <c r="S22" s="31" t="n"/>
      <c r="T22" s="31" t="n"/>
      <c r="U22" s="27" t="n"/>
      <c r="V22" s="8" t="n"/>
      <c r="W22" s="8" t="n"/>
      <c r="X22" s="8" t="n"/>
      <c r="Y22" s="8" t="n"/>
      <c r="Z22" s="8" t="n"/>
    </row>
    <row r="23" ht="13.5" customHeight="1" s="1">
      <c r="A23" s="59" t="n">
        <v>15</v>
      </c>
      <c r="B23" s="34" t="inlineStr">
        <is>
          <t>II</t>
        </is>
      </c>
      <c r="C23" s="31" t="n"/>
      <c r="D23" s="31" t="n"/>
      <c r="E23" s="32" t="n"/>
      <c r="F23" s="32" t="n"/>
      <c r="G23" s="32" t="n"/>
      <c r="H23" s="32" t="n"/>
      <c r="I23" s="32" t="n"/>
      <c r="J23" s="165" t="n"/>
      <c r="K23" s="32" t="n"/>
      <c r="L23" s="32" t="n"/>
      <c r="M23" s="32" t="n"/>
      <c r="N23" s="32" t="n"/>
      <c r="O23" s="32" t="n"/>
      <c r="P23" s="31" t="n"/>
      <c r="Q23" s="31" t="n"/>
      <c r="R23" s="31" t="n"/>
      <c r="S23" s="31" t="n"/>
      <c r="T23" s="31" t="n"/>
      <c r="U23" s="27" t="n"/>
      <c r="V23" s="8" t="n"/>
      <c r="W23" s="8" t="n"/>
      <c r="X23" s="8" t="n"/>
      <c r="Y23" s="8" t="n"/>
      <c r="Z23" s="8" t="n"/>
    </row>
    <row r="24" ht="13.5" customHeight="1" s="1">
      <c r="A24" s="33" t="n">
        <v>16</v>
      </c>
      <c r="B24" s="34" t="inlineStr">
        <is>
          <t>II</t>
        </is>
      </c>
      <c r="C24" s="31" t="n"/>
      <c r="D24" s="31" t="n"/>
      <c r="E24" s="32" t="n"/>
      <c r="F24" s="32" t="n"/>
      <c r="G24" s="32" t="n"/>
      <c r="H24" s="32" t="n"/>
      <c r="I24" s="32" t="n"/>
      <c r="J24" s="165" t="n"/>
      <c r="K24" s="32" t="n"/>
      <c r="L24" s="32" t="n"/>
      <c r="M24" s="32" t="n"/>
      <c r="N24" s="32" t="n"/>
      <c r="O24" s="32" t="n"/>
      <c r="P24" s="31" t="n"/>
      <c r="Q24" s="31" t="n"/>
      <c r="R24" s="31" t="n"/>
      <c r="S24" s="31" t="n"/>
      <c r="T24" s="31" t="n"/>
      <c r="U24" s="27" t="n"/>
      <c r="V24" s="8" t="n"/>
      <c r="W24" s="8" t="n"/>
      <c r="X24" s="8" t="n"/>
      <c r="Y24" s="8" t="n"/>
      <c r="Z24" s="8" t="n"/>
    </row>
    <row r="25" ht="13.5" customHeight="1" s="1">
      <c r="A25" s="59" t="n">
        <v>17</v>
      </c>
      <c r="B25" s="34" t="inlineStr">
        <is>
          <t>II</t>
        </is>
      </c>
      <c r="C25" s="31" t="n"/>
      <c r="D25" s="31" t="n"/>
      <c r="E25" s="32" t="n"/>
      <c r="F25" s="32" t="n"/>
      <c r="G25" s="32" t="n"/>
      <c r="H25" s="32" t="n"/>
      <c r="I25" s="32" t="n"/>
      <c r="J25" s="165" t="n"/>
      <c r="K25" s="32" t="n"/>
      <c r="L25" s="32" t="n"/>
      <c r="M25" s="32" t="n"/>
      <c r="N25" s="32" t="n"/>
      <c r="O25" s="32" t="n"/>
      <c r="P25" s="31" t="n"/>
      <c r="Q25" s="31" t="n"/>
      <c r="R25" s="31" t="n"/>
      <c r="S25" s="31" t="n"/>
      <c r="T25" s="31" t="n"/>
      <c r="U25" s="27" t="n"/>
      <c r="V25" s="8" t="n"/>
      <c r="W25" s="8" t="n"/>
      <c r="X25" s="8" t="n"/>
      <c r="Y25" s="8" t="n"/>
      <c r="Z25" s="8" t="n"/>
    </row>
    <row r="26" ht="13.5" customHeight="1" s="1">
      <c r="A26" s="33" t="n">
        <v>18</v>
      </c>
      <c r="B26" s="34" t="inlineStr">
        <is>
          <t>II</t>
        </is>
      </c>
      <c r="C26" s="31" t="n"/>
      <c r="D26" s="31" t="n"/>
      <c r="E26" s="32" t="n"/>
      <c r="F26" s="32" t="n"/>
      <c r="G26" s="32" t="n"/>
      <c r="H26" s="32" t="n"/>
      <c r="I26" s="32" t="n"/>
      <c r="J26" s="165" t="n"/>
      <c r="K26" s="32" t="n"/>
      <c r="L26" s="32" t="n"/>
      <c r="M26" s="32" t="n"/>
      <c r="N26" s="32" t="n"/>
      <c r="O26" s="32" t="n"/>
      <c r="P26" s="31" t="n"/>
      <c r="Q26" s="31" t="n"/>
      <c r="R26" s="31" t="n"/>
      <c r="S26" s="31" t="n"/>
      <c r="T26" s="31" t="n"/>
      <c r="U26" s="27" t="n"/>
      <c r="V26" s="8" t="n"/>
      <c r="W26" s="8" t="n"/>
      <c r="X26" s="8" t="n"/>
      <c r="Y26" s="8" t="n"/>
      <c r="Z26" s="8" t="n"/>
    </row>
    <row r="27" ht="13.5" customHeight="1" s="1">
      <c r="A27" s="59" t="n">
        <v>19</v>
      </c>
      <c r="B27" s="28" t="inlineStr">
        <is>
          <t>III</t>
        </is>
      </c>
      <c r="C27" s="29" t="n"/>
      <c r="D27" s="29" t="n"/>
      <c r="E27" s="30" t="n"/>
      <c r="F27" s="31" t="n"/>
      <c r="G27" s="32" t="n"/>
      <c r="H27" s="32" t="n"/>
      <c r="I27" s="32" t="n"/>
      <c r="J27" s="32" t="n"/>
      <c r="K27" s="32" t="n"/>
      <c r="L27" s="165" t="n"/>
      <c r="M27" s="32" t="n"/>
      <c r="N27" s="32" t="n"/>
      <c r="O27" s="32" t="n"/>
      <c r="P27" s="32" t="n"/>
      <c r="Q27" s="32" t="n"/>
      <c r="R27" s="31" t="n"/>
      <c r="S27" s="31" t="n"/>
      <c r="T27" s="31" t="n"/>
      <c r="U27" s="27" t="n"/>
      <c r="V27" s="8" t="n"/>
      <c r="W27" s="8" t="n"/>
      <c r="X27" s="8" t="n"/>
      <c r="Y27" s="8" t="n"/>
      <c r="Z27" s="8" t="n"/>
    </row>
    <row r="28" ht="13.5" customHeight="1" s="1">
      <c r="A28" s="33" t="n">
        <v>20</v>
      </c>
      <c r="B28" s="28" t="inlineStr">
        <is>
          <t>III</t>
        </is>
      </c>
      <c r="C28" s="29" t="n"/>
      <c r="D28" s="29" t="n"/>
      <c r="E28" s="30" t="n"/>
      <c r="F28" s="31" t="n"/>
      <c r="G28" s="32" t="n"/>
      <c r="H28" s="32" t="n"/>
      <c r="I28" s="32" t="n"/>
      <c r="J28" s="32" t="n"/>
      <c r="K28" s="32" t="n"/>
      <c r="L28" s="165" t="n"/>
      <c r="M28" s="32" t="n"/>
      <c r="N28" s="32" t="n"/>
      <c r="O28" s="32" t="n"/>
      <c r="P28" s="32" t="n"/>
      <c r="Q28" s="32" t="n"/>
      <c r="R28" s="31" t="n"/>
      <c r="S28" s="31" t="n"/>
      <c r="T28" s="31" t="n"/>
      <c r="U28" s="27" t="n"/>
      <c r="V28" s="8" t="n"/>
      <c r="W28" s="8" t="n"/>
      <c r="X28" s="8" t="n"/>
      <c r="Y28" s="8" t="n"/>
      <c r="Z28" s="8" t="n"/>
    </row>
    <row r="29" ht="13.5" customHeight="1" s="1">
      <c r="A29" s="59" t="n">
        <v>21</v>
      </c>
      <c r="B29" s="28" t="inlineStr">
        <is>
          <t>III</t>
        </is>
      </c>
      <c r="C29" s="29" t="n"/>
      <c r="D29" s="29" t="n"/>
      <c r="E29" s="30" t="n"/>
      <c r="F29" s="31" t="n"/>
      <c r="G29" s="32" t="n"/>
      <c r="H29" s="32" t="n"/>
      <c r="I29" s="32" t="n"/>
      <c r="J29" s="32" t="n"/>
      <c r="K29" s="32" t="n"/>
      <c r="L29" s="165" t="n"/>
      <c r="M29" s="32" t="n"/>
      <c r="N29" s="32" t="n"/>
      <c r="O29" s="32" t="n"/>
      <c r="P29" s="32" t="n"/>
      <c r="Q29" s="32" t="n"/>
      <c r="R29" s="31" t="n"/>
      <c r="S29" s="31" t="n"/>
      <c r="T29" s="31" t="n"/>
      <c r="U29" s="27" t="n"/>
      <c r="V29" s="8" t="n"/>
      <c r="W29" s="8" t="n"/>
      <c r="X29" s="8" t="n"/>
      <c r="Y29" s="8" t="n"/>
      <c r="Z29" s="8" t="n"/>
    </row>
    <row r="30" ht="13.5" customHeight="1" s="1">
      <c r="A30" s="33" t="n">
        <v>22</v>
      </c>
      <c r="B30" s="28" t="inlineStr">
        <is>
          <t>III</t>
        </is>
      </c>
      <c r="C30" s="29" t="n"/>
      <c r="D30" s="29" t="n"/>
      <c r="E30" s="30" t="n"/>
      <c r="F30" s="31" t="n"/>
      <c r="G30" s="32" t="n"/>
      <c r="H30" s="32" t="n"/>
      <c r="I30" s="32" t="n"/>
      <c r="J30" s="32" t="n"/>
      <c r="K30" s="32" t="n"/>
      <c r="L30" s="165" t="n"/>
      <c r="M30" s="32" t="n"/>
      <c r="N30" s="32" t="n"/>
      <c r="O30" s="32" t="n"/>
      <c r="P30" s="32" t="n"/>
      <c r="Q30" s="32" t="n"/>
      <c r="R30" s="31" t="n"/>
      <c r="S30" s="31" t="n"/>
      <c r="T30" s="31" t="n"/>
      <c r="U30" s="27" t="n"/>
      <c r="V30" s="8" t="n"/>
      <c r="W30" s="8" t="n"/>
      <c r="X30" s="8" t="n"/>
      <c r="Y30" s="8" t="n"/>
      <c r="Z30" s="8" t="n"/>
    </row>
    <row r="31" ht="13.5" customHeight="1" s="1">
      <c r="A31" s="59" t="n">
        <v>23</v>
      </c>
      <c r="B31" s="28" t="inlineStr">
        <is>
          <t>III</t>
        </is>
      </c>
      <c r="C31" s="29" t="n"/>
      <c r="D31" s="29" t="n"/>
      <c r="E31" s="30" t="n"/>
      <c r="F31" s="31" t="n"/>
      <c r="G31" s="32" t="n"/>
      <c r="H31" s="32" t="n"/>
      <c r="I31" s="32" t="n"/>
      <c r="J31" s="32" t="n"/>
      <c r="K31" s="32" t="n"/>
      <c r="L31" s="165" t="n"/>
      <c r="M31" s="32" t="n"/>
      <c r="N31" s="32" t="n"/>
      <c r="O31" s="32" t="n"/>
      <c r="P31" s="32" t="n"/>
      <c r="Q31" s="32" t="n"/>
      <c r="R31" s="31" t="n"/>
      <c r="S31" s="31" t="n"/>
      <c r="T31" s="31" t="n"/>
      <c r="U31" s="27" t="n"/>
      <c r="V31" s="8" t="n"/>
      <c r="W31" s="8" t="n"/>
      <c r="X31" s="8" t="n"/>
      <c r="Y31" s="8" t="n"/>
      <c r="Z31" s="8" t="n"/>
    </row>
    <row r="32" ht="13.5" customHeight="1" s="1">
      <c r="A32" s="33" t="n">
        <v>24</v>
      </c>
      <c r="B32" s="28" t="inlineStr">
        <is>
          <t>III</t>
        </is>
      </c>
      <c r="C32" s="29" t="n"/>
      <c r="D32" s="29" t="n"/>
      <c r="E32" s="30" t="n"/>
      <c r="F32" s="31" t="n"/>
      <c r="G32" s="32" t="n"/>
      <c r="H32" s="32" t="n"/>
      <c r="I32" s="32" t="n"/>
      <c r="J32" s="32" t="n"/>
      <c r="K32" s="32" t="n"/>
      <c r="L32" s="165" t="n"/>
      <c r="M32" s="32" t="n"/>
      <c r="N32" s="32" t="n"/>
      <c r="O32" s="32" t="n"/>
      <c r="P32" s="32" t="n"/>
      <c r="Q32" s="32" t="n"/>
      <c r="R32" s="31" t="n"/>
      <c r="S32" s="31" t="n"/>
      <c r="T32" s="31" t="n"/>
      <c r="U32" s="27" t="n"/>
      <c r="V32" s="8" t="n"/>
      <c r="W32" s="8" t="n"/>
      <c r="X32" s="8" t="n"/>
      <c r="Y32" s="8" t="n"/>
      <c r="Z32" s="8" t="n"/>
    </row>
    <row r="33" ht="13.5" customHeight="1" s="1">
      <c r="A33" s="59" t="n">
        <v>25</v>
      </c>
      <c r="B33" s="28" t="inlineStr">
        <is>
          <t>III</t>
        </is>
      </c>
      <c r="C33" s="29" t="n"/>
      <c r="D33" s="29" t="n"/>
      <c r="E33" s="30" t="n"/>
      <c r="F33" s="31" t="n"/>
      <c r="G33" s="32" t="n"/>
      <c r="H33" s="32" t="n"/>
      <c r="I33" s="32" t="n"/>
      <c r="J33" s="32" t="n"/>
      <c r="K33" s="32" t="n"/>
      <c r="L33" s="165" t="n"/>
      <c r="M33" s="32" t="n"/>
      <c r="N33" s="32" t="n"/>
      <c r="O33" s="32" t="n"/>
      <c r="P33" s="32" t="n"/>
      <c r="Q33" s="32" t="n"/>
      <c r="R33" s="31" t="n"/>
      <c r="S33" s="31" t="n"/>
      <c r="T33" s="31" t="n"/>
      <c r="U33" s="27" t="n"/>
      <c r="V33" s="8" t="n"/>
      <c r="W33" s="8" t="n"/>
      <c r="X33" s="8" t="n"/>
      <c r="Y33" s="8" t="n"/>
      <c r="Z33" s="8" t="n"/>
    </row>
    <row r="34" ht="13.5" customHeight="1" s="1">
      <c r="A34" s="33" t="n">
        <v>26</v>
      </c>
      <c r="B34" s="28" t="inlineStr">
        <is>
          <t>III</t>
        </is>
      </c>
      <c r="C34" s="29" t="n"/>
      <c r="D34" s="29" t="n"/>
      <c r="E34" s="30" t="n"/>
      <c r="F34" s="31" t="n"/>
      <c r="G34" s="32" t="n"/>
      <c r="H34" s="32" t="n"/>
      <c r="I34" s="32" t="n"/>
      <c r="J34" s="32" t="n"/>
      <c r="K34" s="32" t="n"/>
      <c r="L34" s="165" t="n"/>
      <c r="M34" s="32" t="n"/>
      <c r="N34" s="32" t="n"/>
      <c r="O34" s="32" t="n"/>
      <c r="P34" s="32" t="n"/>
      <c r="Q34" s="32" t="n"/>
      <c r="R34" s="31" t="n"/>
      <c r="S34" s="31" t="n"/>
      <c r="T34" s="31" t="n"/>
      <c r="U34" s="27" t="n"/>
      <c r="V34" s="8" t="n"/>
      <c r="W34" s="8" t="n"/>
      <c r="X34" s="8" t="n"/>
      <c r="Y34" s="8" t="n"/>
      <c r="Z34" s="8" t="n"/>
    </row>
    <row r="35" ht="13.5" customHeight="1" s="1">
      <c r="A35" s="59" t="n">
        <v>27</v>
      </c>
      <c r="B35" s="34" t="inlineStr">
        <is>
          <t>IV</t>
        </is>
      </c>
      <c r="C35" s="31" t="n"/>
      <c r="D35" s="31" t="n"/>
      <c r="E35" s="32" t="n"/>
      <c r="F35" s="32" t="n"/>
      <c r="G35" s="32" t="n"/>
      <c r="H35" s="32" t="n"/>
      <c r="I35" s="32" t="n"/>
      <c r="J35" s="165" t="n"/>
      <c r="K35" s="32" t="n"/>
      <c r="L35" s="32" t="n"/>
      <c r="M35" s="32" t="n"/>
      <c r="N35" s="32" t="n"/>
      <c r="O35" s="32" t="n"/>
      <c r="P35" s="31" t="n"/>
      <c r="Q35" s="31" t="n"/>
      <c r="R35" s="31" t="n"/>
      <c r="S35" s="31" t="n"/>
      <c r="T35" s="31" t="n"/>
      <c r="U35" s="27" t="n"/>
      <c r="V35" s="8" t="n"/>
      <c r="W35" s="8" t="n"/>
      <c r="X35" s="8" t="n"/>
      <c r="Y35" s="8" t="n"/>
      <c r="Z35" s="8" t="n"/>
    </row>
    <row r="36" ht="13.5" customHeight="1" s="1">
      <c r="A36" s="33" t="n">
        <v>28</v>
      </c>
      <c r="B36" s="34" t="inlineStr">
        <is>
          <t>IV</t>
        </is>
      </c>
      <c r="C36" s="31" t="n"/>
      <c r="D36" s="31" t="n"/>
      <c r="E36" s="32" t="n"/>
      <c r="F36" s="32" t="n"/>
      <c r="G36" s="32" t="n"/>
      <c r="H36" s="32" t="n"/>
      <c r="I36" s="32" t="n"/>
      <c r="J36" s="165" t="n"/>
      <c r="K36" s="32" t="n"/>
      <c r="L36" s="32" t="n"/>
      <c r="M36" s="32" t="n"/>
      <c r="N36" s="32" t="n"/>
      <c r="O36" s="32" t="n"/>
      <c r="P36" s="31" t="n"/>
      <c r="Q36" s="31" t="n"/>
      <c r="R36" s="31" t="n"/>
      <c r="S36" s="31" t="n"/>
      <c r="T36" s="31" t="n"/>
      <c r="U36" s="27" t="n"/>
      <c r="V36" s="8" t="n"/>
      <c r="W36" s="8" t="n"/>
      <c r="X36" s="8" t="n"/>
      <c r="Y36" s="8" t="n"/>
      <c r="Z36" s="8" t="n"/>
    </row>
    <row r="37" ht="13.5" customHeight="1" s="1">
      <c r="A37" s="59" t="n">
        <v>29</v>
      </c>
      <c r="B37" s="34" t="inlineStr">
        <is>
          <t>IV</t>
        </is>
      </c>
      <c r="C37" s="31" t="n"/>
      <c r="D37" s="31" t="n"/>
      <c r="E37" s="32" t="n"/>
      <c r="F37" s="32" t="n"/>
      <c r="G37" s="32" t="n"/>
      <c r="H37" s="32" t="n"/>
      <c r="I37" s="32" t="n"/>
      <c r="J37" s="165" t="n"/>
      <c r="K37" s="32" t="n"/>
      <c r="L37" s="32" t="n"/>
      <c r="M37" s="32" t="n"/>
      <c r="N37" s="32" t="n"/>
      <c r="O37" s="32" t="n"/>
      <c r="P37" s="31" t="n"/>
      <c r="Q37" s="31" t="n"/>
      <c r="R37" s="31" t="n"/>
      <c r="S37" s="31" t="n"/>
      <c r="T37" s="31" t="n"/>
      <c r="U37" s="27" t="n"/>
      <c r="V37" s="8" t="n"/>
      <c r="W37" s="8" t="n"/>
      <c r="X37" s="8" t="n"/>
      <c r="Y37" s="8" t="n"/>
      <c r="Z37" s="8" t="n"/>
    </row>
    <row r="38" ht="13.5" customHeight="1" s="1">
      <c r="A38" s="33" t="n">
        <v>30</v>
      </c>
      <c r="B38" s="34" t="inlineStr">
        <is>
          <t>IV</t>
        </is>
      </c>
      <c r="C38" s="31" t="n"/>
      <c r="D38" s="31" t="n"/>
      <c r="E38" s="32" t="n"/>
      <c r="F38" s="32" t="n"/>
      <c r="G38" s="32" t="n"/>
      <c r="H38" s="32" t="n"/>
      <c r="I38" s="32" t="n"/>
      <c r="J38" s="165" t="n"/>
      <c r="K38" s="32" t="n"/>
      <c r="L38" s="32" t="n"/>
      <c r="M38" s="32" t="n"/>
      <c r="N38" s="32" t="n"/>
      <c r="O38" s="32" t="n"/>
      <c r="P38" s="31" t="n"/>
      <c r="Q38" s="31" t="n"/>
      <c r="R38" s="31" t="n"/>
      <c r="S38" s="31" t="n"/>
      <c r="T38" s="31" t="n"/>
      <c r="U38" s="27" t="n"/>
      <c r="V38" s="8" t="n"/>
      <c r="W38" s="8" t="n"/>
      <c r="X38" s="8" t="n"/>
      <c r="Y38" s="8" t="n"/>
      <c r="Z38" s="8" t="n"/>
    </row>
    <row r="39" ht="13.5" customHeight="1" s="1">
      <c r="A39" s="59" t="n">
        <v>31</v>
      </c>
      <c r="B39" s="34" t="inlineStr">
        <is>
          <t>IV</t>
        </is>
      </c>
      <c r="C39" s="31" t="n"/>
      <c r="D39" s="31" t="n"/>
      <c r="E39" s="32" t="n"/>
      <c r="F39" s="32" t="n"/>
      <c r="G39" s="32" t="n"/>
      <c r="H39" s="32" t="n"/>
      <c r="I39" s="32" t="n"/>
      <c r="J39" s="165" t="n"/>
      <c r="K39" s="32" t="n"/>
      <c r="L39" s="32" t="n"/>
      <c r="M39" s="32" t="n"/>
      <c r="N39" s="32" t="n"/>
      <c r="O39" s="32" t="n"/>
      <c r="P39" s="31" t="n"/>
      <c r="Q39" s="31" t="n"/>
      <c r="R39" s="31" t="n"/>
      <c r="S39" s="31" t="n"/>
      <c r="T39" s="31" t="n"/>
      <c r="U39" s="27" t="n"/>
      <c r="V39" s="8" t="n"/>
      <c r="W39" s="8" t="n"/>
      <c r="X39" s="8" t="n"/>
      <c r="Y39" s="8" t="n"/>
      <c r="Z39" s="8" t="n"/>
    </row>
    <row r="40" ht="13.5" customHeight="1" s="1">
      <c r="A40" s="33" t="n">
        <v>32</v>
      </c>
      <c r="B40" s="34" t="inlineStr">
        <is>
          <t>IV</t>
        </is>
      </c>
      <c r="C40" s="31" t="n"/>
      <c r="D40" s="31" t="n"/>
      <c r="E40" s="32" t="n"/>
      <c r="F40" s="32" t="n"/>
      <c r="G40" s="32" t="n"/>
      <c r="H40" s="32" t="n"/>
      <c r="I40" s="32" t="n"/>
      <c r="J40" s="165" t="n"/>
      <c r="K40" s="32" t="n"/>
      <c r="L40" s="32" t="n"/>
      <c r="M40" s="32" t="n"/>
      <c r="N40" s="32" t="n"/>
      <c r="O40" s="32" t="n"/>
      <c r="P40" s="31" t="n"/>
      <c r="Q40" s="31" t="n"/>
      <c r="R40" s="31" t="n"/>
      <c r="S40" s="31" t="n"/>
      <c r="T40" s="31" t="n"/>
      <c r="U40" s="27" t="n"/>
      <c r="V40" s="8" t="n"/>
      <c r="W40" s="8" t="n"/>
      <c r="X40" s="8" t="n"/>
      <c r="Y40" s="8" t="n"/>
      <c r="Z40" s="8" t="n"/>
    </row>
    <row r="41" ht="13.5" customHeight="1" s="1">
      <c r="A41" s="59" t="n">
        <v>33</v>
      </c>
      <c r="B41" s="34" t="inlineStr">
        <is>
          <t>IV</t>
        </is>
      </c>
      <c r="C41" s="31" t="n"/>
      <c r="D41" s="31" t="n"/>
      <c r="E41" s="32" t="n"/>
      <c r="F41" s="32" t="n"/>
      <c r="G41" s="32" t="n"/>
      <c r="H41" s="32" t="n"/>
      <c r="I41" s="32" t="n"/>
      <c r="J41" s="165" t="n"/>
      <c r="K41" s="32" t="n"/>
      <c r="L41" s="32" t="n"/>
      <c r="M41" s="32" t="n"/>
      <c r="N41" s="32" t="n"/>
      <c r="O41" s="32" t="n"/>
      <c r="P41" s="31" t="n"/>
      <c r="Q41" s="31" t="n"/>
      <c r="R41" s="31" t="n"/>
      <c r="S41" s="31" t="n"/>
      <c r="T41" s="31" t="n"/>
      <c r="U41" s="27" t="n"/>
      <c r="V41" s="8" t="n"/>
      <c r="W41" s="8" t="n"/>
      <c r="X41" s="8" t="n"/>
      <c r="Y41" s="8" t="n"/>
      <c r="Z41" s="8" t="n"/>
    </row>
    <row r="42" ht="13.5" customHeight="1" s="1">
      <c r="A42" s="33" t="n">
        <v>34</v>
      </c>
      <c r="B42" s="34" t="inlineStr">
        <is>
          <t>IV</t>
        </is>
      </c>
      <c r="C42" s="31" t="n"/>
      <c r="D42" s="31" t="n"/>
      <c r="E42" s="32" t="n"/>
      <c r="F42" s="32" t="n"/>
      <c r="G42" s="32" t="n"/>
      <c r="H42" s="32" t="n"/>
      <c r="I42" s="32" t="n"/>
      <c r="J42" s="165" t="n"/>
      <c r="K42" s="32" t="n"/>
      <c r="L42" s="32" t="n"/>
      <c r="M42" s="32" t="n"/>
      <c r="N42" s="32" t="n"/>
      <c r="O42" s="32" t="n"/>
      <c r="P42" s="31" t="n"/>
      <c r="Q42" s="31" t="n"/>
      <c r="R42" s="31" t="n"/>
      <c r="S42" s="31" t="n"/>
      <c r="T42" s="31" t="n"/>
      <c r="U42" s="27" t="n"/>
      <c r="V42" s="8" t="n"/>
      <c r="W42" s="8" t="n"/>
      <c r="X42" s="8" t="n"/>
      <c r="Y42" s="8" t="n"/>
      <c r="Z42" s="8" t="n"/>
    </row>
    <row r="43" ht="13.5" customHeight="1" s="1">
      <c r="A43" s="59" t="n">
        <v>35</v>
      </c>
      <c r="B43" s="34" t="inlineStr">
        <is>
          <t>IV</t>
        </is>
      </c>
      <c r="C43" s="31" t="n"/>
      <c r="D43" s="31" t="n"/>
      <c r="E43" s="32" t="n"/>
      <c r="F43" s="32" t="n"/>
      <c r="G43" s="32" t="n"/>
      <c r="H43" s="32" t="n"/>
      <c r="I43" s="32" t="n"/>
      <c r="J43" s="165" t="n"/>
      <c r="K43" s="32" t="n"/>
      <c r="L43" s="32" t="n"/>
      <c r="M43" s="32" t="n"/>
      <c r="N43" s="32" t="n"/>
      <c r="O43" s="32" t="n"/>
      <c r="P43" s="31" t="n"/>
      <c r="Q43" s="31" t="n"/>
      <c r="R43" s="31" t="n"/>
      <c r="S43" s="31" t="n"/>
      <c r="T43" s="31" t="n"/>
      <c r="U43" s="27" t="n"/>
      <c r="V43" s="8" t="n"/>
      <c r="W43" s="8" t="n"/>
      <c r="X43" s="8" t="n"/>
      <c r="Y43" s="8" t="n"/>
      <c r="Z43" s="8" t="n"/>
    </row>
    <row r="44" ht="13.5" customHeight="1" s="1">
      <c r="A44" s="33" t="n">
        <v>36</v>
      </c>
      <c r="B44" s="34" t="inlineStr">
        <is>
          <t>IV</t>
        </is>
      </c>
      <c r="C44" s="31" t="n"/>
      <c r="D44" s="31" t="n"/>
      <c r="E44" s="32" t="n"/>
      <c r="F44" s="32" t="n"/>
      <c r="G44" s="32" t="n"/>
      <c r="H44" s="32" t="n"/>
      <c r="I44" s="32" t="n"/>
      <c r="J44" s="165" t="n"/>
      <c r="K44" s="32" t="n"/>
      <c r="L44" s="32" t="n"/>
      <c r="M44" s="32" t="n"/>
      <c r="N44" s="32" t="n"/>
      <c r="O44" s="32" t="n"/>
      <c r="P44" s="31" t="n"/>
      <c r="Q44" s="31" t="n"/>
      <c r="R44" s="31" t="n"/>
      <c r="S44" s="31" t="n"/>
      <c r="T44" s="31" t="n"/>
      <c r="U44" s="27" t="n"/>
      <c r="V44" s="8" t="n"/>
      <c r="W44" s="8" t="n"/>
      <c r="X44" s="8" t="n"/>
      <c r="Y44" s="8" t="n"/>
      <c r="Z44" s="8" t="n"/>
    </row>
    <row r="45" ht="13.5" customHeight="1" s="1">
      <c r="A45" s="59" t="n">
        <v>37</v>
      </c>
      <c r="B45" s="28" t="inlineStr">
        <is>
          <t>V</t>
        </is>
      </c>
      <c r="C45" s="29" t="n"/>
      <c r="D45" s="29" t="n"/>
      <c r="E45" s="30" t="n"/>
      <c r="F45" s="31" t="n"/>
      <c r="G45" s="32" t="n"/>
      <c r="H45" s="32" t="n"/>
      <c r="I45" s="32" t="n"/>
      <c r="J45" s="32" t="n"/>
      <c r="K45" s="32" t="n"/>
      <c r="L45" s="165" t="n"/>
      <c r="M45" s="32" t="n"/>
      <c r="N45" s="32" t="n"/>
      <c r="O45" s="32" t="n"/>
      <c r="P45" s="32" t="n"/>
      <c r="Q45" s="32" t="n"/>
      <c r="R45" s="31" t="n"/>
      <c r="S45" s="31" t="n"/>
      <c r="T45" s="31" t="n"/>
      <c r="U45" s="27" t="n"/>
      <c r="V45" s="8" t="n"/>
      <c r="W45" s="8" t="n"/>
      <c r="X45" s="8" t="n"/>
      <c r="Y45" s="8" t="n"/>
      <c r="Z45" s="8" t="n"/>
    </row>
    <row r="46" ht="13.5" customHeight="1" s="1">
      <c r="A46" s="33" t="n">
        <v>38</v>
      </c>
      <c r="B46" s="28" t="inlineStr">
        <is>
          <t>V</t>
        </is>
      </c>
      <c r="C46" s="29" t="n"/>
      <c r="D46" s="29" t="n"/>
      <c r="E46" s="30" t="n"/>
      <c r="F46" s="31" t="n"/>
      <c r="G46" s="32" t="n"/>
      <c r="H46" s="32" t="n"/>
      <c r="I46" s="32" t="n"/>
      <c r="J46" s="32" t="n"/>
      <c r="K46" s="32" t="n"/>
      <c r="L46" s="165" t="n"/>
      <c r="M46" s="32" t="n"/>
      <c r="N46" s="32" t="n"/>
      <c r="O46" s="32" t="n"/>
      <c r="P46" s="32" t="n"/>
      <c r="Q46" s="32" t="n"/>
      <c r="R46" s="31" t="n"/>
      <c r="S46" s="31" t="n"/>
      <c r="T46" s="31" t="n"/>
      <c r="U46" s="27" t="n"/>
      <c r="V46" s="8" t="n"/>
      <c r="W46" s="8" t="n"/>
      <c r="X46" s="8" t="n"/>
      <c r="Y46" s="8" t="n"/>
      <c r="Z46" s="8" t="n"/>
    </row>
    <row r="47" ht="13.5" customHeight="1" s="1">
      <c r="A47" s="59" t="n">
        <v>39</v>
      </c>
      <c r="B47" s="28" t="inlineStr">
        <is>
          <t>V</t>
        </is>
      </c>
      <c r="C47" s="29" t="n"/>
      <c r="D47" s="29" t="n"/>
      <c r="E47" s="30" t="n"/>
      <c r="F47" s="31" t="n"/>
      <c r="G47" s="32" t="n"/>
      <c r="H47" s="32" t="n"/>
      <c r="I47" s="32" t="n"/>
      <c r="J47" s="32" t="n"/>
      <c r="K47" s="32" t="n"/>
      <c r="L47" s="165" t="n"/>
      <c r="M47" s="32" t="n"/>
      <c r="N47" s="32" t="n"/>
      <c r="O47" s="32" t="n"/>
      <c r="P47" s="32" t="n"/>
      <c r="Q47" s="32" t="n"/>
      <c r="R47" s="31" t="n"/>
      <c r="S47" s="31" t="n"/>
      <c r="T47" s="31" t="n"/>
      <c r="U47" s="27" t="n"/>
      <c r="V47" s="8" t="n"/>
      <c r="W47" s="8" t="n"/>
      <c r="X47" s="8" t="n"/>
      <c r="Y47" s="8" t="n"/>
      <c r="Z47" s="8" t="n"/>
    </row>
    <row r="48" ht="13.5" customHeight="1" s="1">
      <c r="A48" s="33" t="n">
        <v>40</v>
      </c>
      <c r="B48" s="28" t="inlineStr">
        <is>
          <t>V</t>
        </is>
      </c>
      <c r="C48" s="29" t="n"/>
      <c r="D48" s="29" t="n"/>
      <c r="E48" s="30" t="n"/>
      <c r="F48" s="31" t="n"/>
      <c r="G48" s="32" t="n"/>
      <c r="H48" s="32" t="n"/>
      <c r="I48" s="32" t="n"/>
      <c r="J48" s="32" t="n"/>
      <c r="K48" s="32" t="n"/>
      <c r="L48" s="165" t="n"/>
      <c r="M48" s="32" t="n"/>
      <c r="N48" s="32" t="n"/>
      <c r="O48" s="32" t="n"/>
      <c r="P48" s="32" t="n"/>
      <c r="Q48" s="32" t="n"/>
      <c r="R48" s="31" t="n"/>
      <c r="S48" s="31" t="n"/>
      <c r="T48" s="31" t="n"/>
      <c r="U48" s="27" t="n"/>
      <c r="V48" s="8" t="n"/>
      <c r="W48" s="8" t="n"/>
      <c r="X48" s="8" t="n"/>
      <c r="Y48" s="8" t="n"/>
      <c r="Z48" s="8" t="n"/>
    </row>
    <row r="49" ht="13.5" customHeight="1" s="1">
      <c r="A49" s="59" t="n">
        <v>41</v>
      </c>
      <c r="B49" s="28" t="inlineStr">
        <is>
          <t>V</t>
        </is>
      </c>
      <c r="C49" s="29" t="n"/>
      <c r="D49" s="29" t="n"/>
      <c r="E49" s="30" t="n"/>
      <c r="F49" s="31" t="n"/>
      <c r="G49" s="32" t="n"/>
      <c r="H49" s="32" t="n"/>
      <c r="I49" s="32" t="n"/>
      <c r="J49" s="32" t="n"/>
      <c r="K49" s="32" t="n"/>
      <c r="L49" s="165" t="n"/>
      <c r="M49" s="32" t="n"/>
      <c r="N49" s="32" t="n"/>
      <c r="O49" s="32" t="n"/>
      <c r="P49" s="32" t="n"/>
      <c r="Q49" s="32" t="n"/>
      <c r="R49" s="31" t="n"/>
      <c r="S49" s="31" t="n"/>
      <c r="T49" s="31" t="n"/>
      <c r="U49" s="27" t="n"/>
      <c r="V49" s="8" t="n"/>
      <c r="W49" s="8" t="n"/>
      <c r="X49" s="8" t="n"/>
      <c r="Y49" s="8" t="n"/>
      <c r="Z49" s="8" t="n"/>
    </row>
    <row r="50" ht="13.5" customHeight="1" s="1">
      <c r="A50" s="33" t="n">
        <v>42</v>
      </c>
      <c r="B50" s="28" t="inlineStr">
        <is>
          <t>V</t>
        </is>
      </c>
      <c r="C50" s="29" t="n"/>
      <c r="D50" s="29" t="n"/>
      <c r="E50" s="30" t="n"/>
      <c r="F50" s="31" t="n"/>
      <c r="G50" s="32" t="n"/>
      <c r="H50" s="32" t="n"/>
      <c r="I50" s="32" t="n"/>
      <c r="J50" s="32" t="n"/>
      <c r="K50" s="32" t="n"/>
      <c r="L50" s="165" t="n"/>
      <c r="M50" s="32" t="n"/>
      <c r="N50" s="32" t="n"/>
      <c r="O50" s="32" t="n"/>
      <c r="P50" s="32" t="n"/>
      <c r="Q50" s="32" t="n"/>
      <c r="R50" s="31" t="n"/>
      <c r="S50" s="31" t="n"/>
      <c r="T50" s="31" t="n"/>
      <c r="U50" s="27" t="n"/>
      <c r="V50" s="8" t="n"/>
      <c r="W50" s="8" t="n"/>
      <c r="X50" s="8" t="n"/>
      <c r="Y50" s="8" t="n"/>
      <c r="Z50" s="8" t="n"/>
    </row>
    <row r="51" ht="13.5" customHeight="1" s="1">
      <c r="A51" s="59" t="n">
        <v>43</v>
      </c>
      <c r="B51" s="28" t="inlineStr">
        <is>
          <t>V</t>
        </is>
      </c>
      <c r="C51" s="29" t="n"/>
      <c r="D51" s="29" t="n"/>
      <c r="E51" s="30" t="n"/>
      <c r="F51" s="31" t="n"/>
      <c r="G51" s="32" t="n"/>
      <c r="H51" s="32" t="n"/>
      <c r="I51" s="32" t="n"/>
      <c r="J51" s="32" t="n"/>
      <c r="K51" s="32" t="n"/>
      <c r="L51" s="165" t="n"/>
      <c r="M51" s="32" t="n"/>
      <c r="N51" s="32" t="n"/>
      <c r="O51" s="32" t="n"/>
      <c r="P51" s="32" t="n"/>
      <c r="Q51" s="32" t="n"/>
      <c r="R51" s="31" t="n"/>
      <c r="S51" s="31" t="n"/>
      <c r="T51" s="31" t="n"/>
      <c r="U51" s="27" t="n"/>
      <c r="V51" s="8" t="n"/>
      <c r="W51" s="8" t="n"/>
      <c r="X51" s="8" t="n"/>
      <c r="Y51" s="8" t="n"/>
      <c r="Z51" s="8" t="n"/>
    </row>
    <row r="52" ht="13.5" customHeight="1" s="1">
      <c r="A52" s="33" t="n">
        <v>44</v>
      </c>
      <c r="B52" s="28" t="inlineStr">
        <is>
          <t>V</t>
        </is>
      </c>
      <c r="C52" s="29" t="n"/>
      <c r="D52" s="29" t="n"/>
      <c r="E52" s="30" t="n"/>
      <c r="F52" s="31" t="n"/>
      <c r="G52" s="32" t="n"/>
      <c r="H52" s="32" t="n"/>
      <c r="I52" s="32" t="n"/>
      <c r="J52" s="32" t="n"/>
      <c r="K52" s="32" t="n"/>
      <c r="L52" s="165" t="n"/>
      <c r="M52" s="32" t="n"/>
      <c r="N52" s="32" t="n"/>
      <c r="O52" s="32" t="n"/>
      <c r="P52" s="32" t="n"/>
      <c r="Q52" s="32" t="n"/>
      <c r="R52" s="31" t="n"/>
      <c r="S52" s="31" t="n"/>
      <c r="T52" s="31" t="n"/>
      <c r="U52" s="27" t="n"/>
      <c r="V52" s="8" t="n"/>
      <c r="W52" s="8" t="n"/>
      <c r="X52" s="8" t="n"/>
      <c r="Y52" s="8" t="n"/>
      <c r="Z52" s="8" t="n"/>
    </row>
    <row r="53" ht="13.5" customHeight="1" s="1">
      <c r="A53" s="59" t="n">
        <v>45</v>
      </c>
      <c r="B53" s="34" t="inlineStr">
        <is>
          <t>VI</t>
        </is>
      </c>
      <c r="C53" s="31" t="n"/>
      <c r="D53" s="31" t="n"/>
      <c r="E53" s="32" t="n"/>
      <c r="F53" s="32" t="n"/>
      <c r="G53" s="32" t="n"/>
      <c r="H53" s="32" t="n"/>
      <c r="I53" s="32" t="n"/>
      <c r="J53" s="165" t="n"/>
      <c r="K53" s="32" t="n"/>
      <c r="L53" s="32" t="n"/>
      <c r="M53" s="32" t="n"/>
      <c r="N53" s="32" t="n"/>
      <c r="O53" s="32" t="n"/>
      <c r="P53" s="31" t="n"/>
      <c r="Q53" s="31" t="n"/>
      <c r="R53" s="31" t="n"/>
      <c r="S53" s="31" t="n"/>
      <c r="T53" s="31" t="n"/>
      <c r="U53" s="27" t="n"/>
      <c r="V53" s="8" t="n"/>
      <c r="W53" s="8" t="n"/>
      <c r="X53" s="8" t="n"/>
      <c r="Y53" s="8" t="n"/>
      <c r="Z53" s="8" t="n"/>
    </row>
    <row r="54" ht="13.5" customHeight="1" s="1">
      <c r="A54" s="33" t="n">
        <v>46</v>
      </c>
      <c r="B54" s="34" t="inlineStr">
        <is>
          <t>VI</t>
        </is>
      </c>
      <c r="C54" s="31" t="n"/>
      <c r="D54" s="31" t="n"/>
      <c r="E54" s="32" t="n"/>
      <c r="F54" s="32" t="n"/>
      <c r="G54" s="32" t="n"/>
      <c r="H54" s="32" t="n"/>
      <c r="I54" s="32" t="n"/>
      <c r="J54" s="165" t="n"/>
      <c r="K54" s="32" t="n"/>
      <c r="L54" s="32" t="n"/>
      <c r="M54" s="32" t="n"/>
      <c r="N54" s="32" t="n"/>
      <c r="O54" s="32" t="n"/>
      <c r="P54" s="31" t="n"/>
      <c r="Q54" s="31" t="n"/>
      <c r="R54" s="31" t="n"/>
      <c r="S54" s="31" t="n"/>
      <c r="T54" s="31" t="n"/>
      <c r="U54" s="27" t="n"/>
      <c r="V54" s="8" t="n"/>
      <c r="W54" s="8" t="n"/>
      <c r="X54" s="8" t="n"/>
      <c r="Y54" s="8" t="n"/>
      <c r="Z54" s="8" t="n"/>
    </row>
    <row r="55" ht="13.5" customHeight="1" s="1">
      <c r="A55" s="59" t="n">
        <v>47</v>
      </c>
      <c r="B55" s="34" t="inlineStr">
        <is>
          <t>VI</t>
        </is>
      </c>
      <c r="C55" s="31" t="n"/>
      <c r="D55" s="31" t="n"/>
      <c r="E55" s="32" t="n"/>
      <c r="F55" s="32" t="n"/>
      <c r="G55" s="32" t="n"/>
      <c r="H55" s="32" t="n"/>
      <c r="I55" s="32" t="n"/>
      <c r="J55" s="165" t="n"/>
      <c r="K55" s="32" t="n"/>
      <c r="L55" s="32" t="n"/>
      <c r="M55" s="32" t="n"/>
      <c r="N55" s="32" t="n"/>
      <c r="O55" s="32" t="n"/>
      <c r="P55" s="31" t="n"/>
      <c r="Q55" s="31" t="n"/>
      <c r="R55" s="31" t="n"/>
      <c r="S55" s="31" t="n"/>
      <c r="T55" s="31" t="n"/>
      <c r="U55" s="27" t="n"/>
      <c r="V55" s="8" t="n"/>
      <c r="W55" s="8" t="n"/>
      <c r="X55" s="8" t="n"/>
      <c r="Y55" s="8" t="n"/>
      <c r="Z55" s="8" t="n"/>
    </row>
    <row r="56" ht="13.5" customHeight="1" s="1">
      <c r="A56" s="33" t="n">
        <v>48</v>
      </c>
      <c r="B56" s="34" t="inlineStr">
        <is>
          <t>VI</t>
        </is>
      </c>
      <c r="C56" s="31" t="n"/>
      <c r="D56" s="31" t="n"/>
      <c r="E56" s="32" t="n"/>
      <c r="F56" s="32" t="n"/>
      <c r="G56" s="32" t="n"/>
      <c r="H56" s="32" t="n"/>
      <c r="I56" s="32" t="n"/>
      <c r="J56" s="165" t="n"/>
      <c r="K56" s="32" t="n"/>
      <c r="L56" s="32" t="n"/>
      <c r="M56" s="32" t="n"/>
      <c r="N56" s="32" t="n"/>
      <c r="O56" s="32" t="n"/>
      <c r="P56" s="31" t="n"/>
      <c r="Q56" s="31" t="n"/>
      <c r="R56" s="31" t="n"/>
      <c r="S56" s="31" t="n"/>
      <c r="T56" s="31" t="n"/>
      <c r="U56" s="27" t="n"/>
      <c r="V56" s="8" t="n"/>
      <c r="W56" s="8" t="n"/>
      <c r="X56" s="8" t="n"/>
      <c r="Y56" s="8" t="n"/>
      <c r="Z56" s="8" t="n"/>
    </row>
    <row r="57" ht="13.5" customHeight="1" s="1">
      <c r="A57" s="59" t="n">
        <v>49</v>
      </c>
      <c r="B57" s="34" t="inlineStr">
        <is>
          <t>VI</t>
        </is>
      </c>
      <c r="C57" s="31" t="n"/>
      <c r="D57" s="31" t="n"/>
      <c r="E57" s="32" t="n"/>
      <c r="F57" s="32" t="n"/>
      <c r="G57" s="32" t="n"/>
      <c r="H57" s="32" t="n"/>
      <c r="I57" s="32" t="n"/>
      <c r="J57" s="165" t="n"/>
      <c r="K57" s="32" t="n"/>
      <c r="L57" s="32" t="n"/>
      <c r="M57" s="32" t="n"/>
      <c r="N57" s="32" t="n"/>
      <c r="O57" s="32" t="n"/>
      <c r="P57" s="31" t="n"/>
      <c r="Q57" s="31" t="n"/>
      <c r="R57" s="31" t="n"/>
      <c r="S57" s="31" t="n"/>
      <c r="T57" s="31" t="n"/>
      <c r="U57" s="27" t="n"/>
      <c r="V57" s="8" t="n"/>
      <c r="W57" s="8" t="n"/>
      <c r="X57" s="8" t="n"/>
      <c r="Y57" s="8" t="n"/>
      <c r="Z57" s="8" t="n"/>
    </row>
    <row r="58" ht="13.5" customHeight="1" s="1">
      <c r="A58" s="33" t="n">
        <v>50</v>
      </c>
      <c r="B58" s="34" t="inlineStr">
        <is>
          <t>VI</t>
        </is>
      </c>
      <c r="C58" s="31" t="n"/>
      <c r="D58" s="31" t="n"/>
      <c r="E58" s="32" t="n"/>
      <c r="F58" s="32" t="n"/>
      <c r="G58" s="32" t="n"/>
      <c r="H58" s="32" t="n"/>
      <c r="I58" s="32" t="n"/>
      <c r="J58" s="165" t="n"/>
      <c r="K58" s="32" t="n"/>
      <c r="L58" s="32" t="n"/>
      <c r="M58" s="32" t="n"/>
      <c r="N58" s="32" t="n"/>
      <c r="O58" s="32" t="n"/>
      <c r="P58" s="31" t="n"/>
      <c r="Q58" s="31" t="n"/>
      <c r="R58" s="31" t="n"/>
      <c r="S58" s="31" t="n"/>
      <c r="T58" s="31" t="n"/>
      <c r="U58" s="27" t="n"/>
      <c r="V58" s="8" t="n"/>
      <c r="W58" s="8" t="n"/>
      <c r="X58" s="8" t="n"/>
      <c r="Y58" s="8" t="n"/>
      <c r="Z58" s="8" t="n"/>
    </row>
    <row r="59" ht="13.5" customHeight="1" s="1">
      <c r="A59" s="59" t="n">
        <v>51</v>
      </c>
      <c r="B59" s="34" t="inlineStr">
        <is>
          <t>VI</t>
        </is>
      </c>
      <c r="C59" s="31" t="n"/>
      <c r="D59" s="31" t="n"/>
      <c r="E59" s="32" t="n"/>
      <c r="F59" s="32" t="n"/>
      <c r="G59" s="32" t="n"/>
      <c r="H59" s="32" t="n"/>
      <c r="I59" s="32" t="n"/>
      <c r="J59" s="165" t="n"/>
      <c r="K59" s="32" t="n"/>
      <c r="L59" s="32" t="n"/>
      <c r="M59" s="32" t="n"/>
      <c r="N59" s="32" t="n"/>
      <c r="O59" s="32" t="n"/>
      <c r="P59" s="31" t="n"/>
      <c r="Q59" s="31" t="n"/>
      <c r="R59" s="31" t="n"/>
      <c r="S59" s="31" t="n"/>
      <c r="T59" s="31" t="n"/>
      <c r="U59" s="27" t="n"/>
      <c r="V59" s="8" t="n"/>
      <c r="W59" s="8" t="n"/>
      <c r="X59" s="8" t="n"/>
      <c r="Y59" s="8" t="n"/>
      <c r="Z59" s="8" t="n"/>
    </row>
    <row r="60" ht="13.5" customHeight="1" s="1">
      <c r="A60" s="33" t="n">
        <v>52</v>
      </c>
      <c r="B60" s="34" t="inlineStr">
        <is>
          <t>VI</t>
        </is>
      </c>
      <c r="C60" s="31" t="n"/>
      <c r="D60" s="31" t="n"/>
      <c r="E60" s="32" t="n"/>
      <c r="F60" s="32" t="n"/>
      <c r="G60" s="32" t="n"/>
      <c r="H60" s="32" t="n"/>
      <c r="I60" s="32" t="n"/>
      <c r="J60" s="165" t="n"/>
      <c r="K60" s="32" t="n"/>
      <c r="L60" s="32" t="n"/>
      <c r="M60" s="32" t="n"/>
      <c r="N60" s="32" t="n"/>
      <c r="O60" s="32" t="n"/>
      <c r="P60" s="31" t="n"/>
      <c r="Q60" s="31" t="n"/>
      <c r="R60" s="31" t="n"/>
      <c r="S60" s="31" t="n"/>
      <c r="T60" s="31" t="n"/>
      <c r="U60" s="27" t="n"/>
      <c r="V60" s="8" t="n"/>
      <c r="W60" s="8" t="n"/>
      <c r="X60" s="8" t="n"/>
      <c r="Y60" s="8" t="n"/>
      <c r="Z60" s="8" t="n"/>
    </row>
    <row r="61" ht="13.5" customHeight="1" s="1">
      <c r="A61" s="59" t="n">
        <v>53</v>
      </c>
      <c r="B61" s="34" t="inlineStr">
        <is>
          <t>VI</t>
        </is>
      </c>
      <c r="C61" s="31" t="n"/>
      <c r="D61" s="31" t="n"/>
      <c r="E61" s="32" t="n"/>
      <c r="F61" s="32" t="n"/>
      <c r="G61" s="32" t="n"/>
      <c r="H61" s="32" t="n"/>
      <c r="I61" s="32" t="n"/>
      <c r="J61" s="165" t="n"/>
      <c r="K61" s="32" t="n"/>
      <c r="L61" s="32" t="n"/>
      <c r="M61" s="32" t="n"/>
      <c r="N61" s="32" t="n"/>
      <c r="O61" s="32" t="n"/>
      <c r="P61" s="31" t="n"/>
      <c r="Q61" s="31" t="n"/>
      <c r="R61" s="31" t="n"/>
      <c r="S61" s="31" t="n"/>
      <c r="T61" s="31" t="n"/>
      <c r="U61" s="27" t="n"/>
      <c r="V61" s="8" t="n"/>
      <c r="W61" s="8" t="n"/>
      <c r="X61" s="8" t="n"/>
      <c r="Y61" s="8" t="n"/>
      <c r="Z61" s="8" t="n"/>
    </row>
    <row r="62" ht="13.5" customHeight="1" s="1">
      <c r="A62" s="33" t="n">
        <v>54</v>
      </c>
      <c r="B62" s="34" t="inlineStr">
        <is>
          <t>VI</t>
        </is>
      </c>
      <c r="C62" s="31" t="n"/>
      <c r="D62" s="31" t="n"/>
      <c r="E62" s="32" t="n"/>
      <c r="F62" s="32" t="n"/>
      <c r="G62" s="32" t="n"/>
      <c r="H62" s="32" t="n"/>
      <c r="I62" s="32" t="n"/>
      <c r="J62" s="165" t="n"/>
      <c r="K62" s="32" t="n"/>
      <c r="L62" s="32" t="n"/>
      <c r="M62" s="32" t="n"/>
      <c r="N62" s="32" t="n"/>
      <c r="O62" s="32" t="n"/>
      <c r="P62" s="31" t="n"/>
      <c r="Q62" s="31" t="n"/>
      <c r="R62" s="31" t="n"/>
      <c r="S62" s="31" t="n"/>
      <c r="T62" s="31" t="n"/>
      <c r="U62" s="27" t="n"/>
      <c r="V62" s="8" t="n"/>
      <c r="W62" s="8" t="n"/>
      <c r="X62" s="8" t="n"/>
      <c r="Y62" s="8" t="n"/>
      <c r="Z62" s="8" t="n"/>
    </row>
    <row r="63" ht="13.5" customHeight="1" s="1">
      <c r="A63" s="59" t="n">
        <v>55</v>
      </c>
      <c r="B63" s="28" t="inlineStr">
        <is>
          <t>VII</t>
        </is>
      </c>
      <c r="C63" s="29" t="n"/>
      <c r="D63" s="29" t="n"/>
      <c r="E63" s="30" t="n"/>
      <c r="F63" s="31" t="n"/>
      <c r="G63" s="32" t="n"/>
      <c r="H63" s="32" t="n"/>
      <c r="I63" s="32" t="n"/>
      <c r="J63" s="32" t="n"/>
      <c r="K63" s="32" t="n"/>
      <c r="L63" s="165" t="n"/>
      <c r="M63" s="32" t="n"/>
      <c r="N63" s="32" t="n"/>
      <c r="O63" s="32" t="n"/>
      <c r="P63" s="32" t="n"/>
      <c r="Q63" s="32" t="n"/>
      <c r="R63" s="31" t="n"/>
      <c r="S63" s="31" t="n"/>
      <c r="T63" s="31" t="n"/>
      <c r="U63" s="27" t="n"/>
      <c r="V63" s="8" t="n"/>
      <c r="W63" s="8" t="n"/>
      <c r="X63" s="8" t="n"/>
      <c r="Y63" s="8" t="n"/>
      <c r="Z63" s="8" t="n"/>
    </row>
    <row r="64" ht="13.5" customHeight="1" s="1">
      <c r="A64" s="33" t="n">
        <v>56</v>
      </c>
      <c r="B64" s="28" t="inlineStr">
        <is>
          <t>VII</t>
        </is>
      </c>
      <c r="C64" s="29" t="n"/>
      <c r="D64" s="29" t="n"/>
      <c r="E64" s="30" t="n"/>
      <c r="F64" s="31" t="n"/>
      <c r="G64" s="32" t="n"/>
      <c r="H64" s="32" t="n"/>
      <c r="I64" s="32" t="n"/>
      <c r="J64" s="32" t="n"/>
      <c r="K64" s="32" t="n"/>
      <c r="L64" s="165" t="n"/>
      <c r="M64" s="32" t="n"/>
      <c r="N64" s="32" t="n"/>
      <c r="O64" s="32" t="n"/>
      <c r="P64" s="32" t="n"/>
      <c r="Q64" s="32" t="n"/>
      <c r="R64" s="31" t="n"/>
      <c r="S64" s="31" t="n"/>
      <c r="T64" s="31" t="n"/>
      <c r="U64" s="27" t="n"/>
      <c r="V64" s="8" t="n"/>
      <c r="W64" s="8" t="n"/>
      <c r="X64" s="8" t="n"/>
      <c r="Y64" s="8" t="n"/>
      <c r="Z64" s="8" t="n"/>
    </row>
    <row r="65" ht="13.5" customHeight="1" s="1">
      <c r="A65" s="59" t="n">
        <v>57</v>
      </c>
      <c r="B65" s="28" t="inlineStr">
        <is>
          <t>VII</t>
        </is>
      </c>
      <c r="C65" s="29" t="n"/>
      <c r="D65" s="29" t="n"/>
      <c r="E65" s="30" t="n"/>
      <c r="F65" s="31" t="n"/>
      <c r="G65" s="32" t="n"/>
      <c r="H65" s="32" t="n"/>
      <c r="I65" s="32" t="n"/>
      <c r="J65" s="32" t="n"/>
      <c r="K65" s="32" t="n"/>
      <c r="L65" s="165" t="n"/>
      <c r="M65" s="32" t="n"/>
      <c r="N65" s="32" t="n"/>
      <c r="O65" s="32" t="n"/>
      <c r="P65" s="32" t="n"/>
      <c r="Q65" s="32" t="n"/>
      <c r="R65" s="31" t="n"/>
      <c r="S65" s="31" t="n"/>
      <c r="T65" s="31" t="n"/>
      <c r="U65" s="27" t="n"/>
      <c r="V65" s="8" t="n"/>
      <c r="W65" s="8" t="n"/>
      <c r="X65" s="8" t="n"/>
      <c r="Y65" s="8" t="n"/>
      <c r="Z65" s="8" t="n"/>
    </row>
    <row r="66" ht="13.5" customHeight="1" s="1">
      <c r="A66" s="33" t="n">
        <v>58</v>
      </c>
      <c r="B66" s="28" t="inlineStr">
        <is>
          <t>VII</t>
        </is>
      </c>
      <c r="C66" s="29" t="n"/>
      <c r="D66" s="29" t="n"/>
      <c r="E66" s="30" t="n"/>
      <c r="F66" s="31" t="n"/>
      <c r="G66" s="32" t="n"/>
      <c r="H66" s="32" t="n"/>
      <c r="I66" s="32" t="n"/>
      <c r="J66" s="32" t="n"/>
      <c r="K66" s="32" t="n"/>
      <c r="L66" s="165" t="n"/>
      <c r="M66" s="32" t="n"/>
      <c r="N66" s="32" t="n"/>
      <c r="O66" s="32" t="n"/>
      <c r="P66" s="32" t="n"/>
      <c r="Q66" s="32" t="n"/>
      <c r="R66" s="31" t="n"/>
      <c r="S66" s="31" t="n"/>
      <c r="T66" s="31" t="n"/>
      <c r="U66" s="27" t="n"/>
      <c r="V66" s="8" t="n"/>
      <c r="W66" s="8" t="n"/>
      <c r="X66" s="8" t="n"/>
      <c r="Y66" s="8" t="n"/>
      <c r="Z66" s="8" t="n"/>
    </row>
    <row r="67" ht="13.5" customHeight="1" s="1">
      <c r="A67" s="59" t="n">
        <v>59</v>
      </c>
      <c r="B67" s="28" t="inlineStr">
        <is>
          <t>VII</t>
        </is>
      </c>
      <c r="C67" s="29" t="n"/>
      <c r="D67" s="29" t="n"/>
      <c r="E67" s="30" t="n"/>
      <c r="F67" s="31" t="n"/>
      <c r="G67" s="32" t="n"/>
      <c r="H67" s="32" t="n"/>
      <c r="I67" s="32" t="n"/>
      <c r="J67" s="32" t="n"/>
      <c r="K67" s="32" t="n"/>
      <c r="L67" s="165" t="n"/>
      <c r="M67" s="32" t="n"/>
      <c r="N67" s="32" t="n"/>
      <c r="O67" s="32" t="n"/>
      <c r="P67" s="32" t="n"/>
      <c r="Q67" s="32" t="n"/>
      <c r="R67" s="31" t="n"/>
      <c r="S67" s="31" t="n"/>
      <c r="T67" s="31" t="n"/>
      <c r="U67" s="27" t="n"/>
      <c r="V67" s="8" t="n"/>
      <c r="W67" s="8" t="n"/>
      <c r="X67" s="8" t="n"/>
      <c r="Y67" s="8" t="n"/>
      <c r="Z67" s="8" t="n"/>
    </row>
    <row r="68" ht="13.5" customHeight="1" s="1">
      <c r="A68" s="33" t="n">
        <v>60</v>
      </c>
      <c r="B68" s="28" t="inlineStr">
        <is>
          <t>VII</t>
        </is>
      </c>
      <c r="C68" s="29" t="n"/>
      <c r="D68" s="29" t="n"/>
      <c r="E68" s="30" t="n"/>
      <c r="F68" s="31" t="n"/>
      <c r="G68" s="32" t="n"/>
      <c r="H68" s="32" t="n"/>
      <c r="I68" s="32" t="n"/>
      <c r="J68" s="32" t="n"/>
      <c r="K68" s="32" t="n"/>
      <c r="L68" s="165" t="n"/>
      <c r="M68" s="32" t="n"/>
      <c r="N68" s="32" t="n"/>
      <c r="O68" s="32" t="n"/>
      <c r="P68" s="32" t="n"/>
      <c r="Q68" s="32" t="n"/>
      <c r="R68" s="31" t="n"/>
      <c r="S68" s="31" t="n"/>
      <c r="T68" s="31" t="n"/>
      <c r="U68" s="27" t="n"/>
      <c r="V68" s="8" t="n"/>
      <c r="W68" s="8" t="n"/>
      <c r="X68" s="8" t="n"/>
      <c r="Y68" s="8" t="n"/>
      <c r="Z68" s="8" t="n"/>
    </row>
    <row r="69" ht="13.5" customHeight="1" s="1">
      <c r="A69" s="59" t="n">
        <v>61</v>
      </c>
      <c r="B69" s="28" t="inlineStr">
        <is>
          <t>VII</t>
        </is>
      </c>
      <c r="C69" s="29" t="n"/>
      <c r="D69" s="29" t="n"/>
      <c r="E69" s="30" t="n"/>
      <c r="F69" s="31" t="n"/>
      <c r="G69" s="32" t="n"/>
      <c r="H69" s="32" t="n"/>
      <c r="I69" s="32" t="n"/>
      <c r="J69" s="32" t="n"/>
      <c r="K69" s="32" t="n"/>
      <c r="L69" s="165" t="n"/>
      <c r="M69" s="32" t="n"/>
      <c r="N69" s="32" t="n"/>
      <c r="O69" s="32" t="n"/>
      <c r="P69" s="32" t="n"/>
      <c r="Q69" s="32" t="n"/>
      <c r="R69" s="31" t="n"/>
      <c r="S69" s="31" t="n"/>
      <c r="T69" s="31" t="n"/>
      <c r="U69" s="27" t="n"/>
      <c r="V69" s="8" t="n"/>
      <c r="W69" s="8" t="n"/>
      <c r="X69" s="8" t="n"/>
      <c r="Y69" s="8" t="n"/>
      <c r="Z69" s="8" t="n"/>
    </row>
    <row r="70" ht="13.5" customHeight="1" s="1">
      <c r="A70" s="33" t="n">
        <v>62</v>
      </c>
      <c r="B70" s="28" t="inlineStr">
        <is>
          <t>VII</t>
        </is>
      </c>
      <c r="C70" s="29" t="n"/>
      <c r="D70" s="29" t="n"/>
      <c r="E70" s="30" t="n"/>
      <c r="F70" s="31" t="n"/>
      <c r="G70" s="32" t="n"/>
      <c r="H70" s="32" t="n"/>
      <c r="I70" s="32" t="n"/>
      <c r="J70" s="32" t="n"/>
      <c r="K70" s="32" t="n"/>
      <c r="L70" s="165" t="n"/>
      <c r="M70" s="32" t="n"/>
      <c r="N70" s="32" t="n"/>
      <c r="O70" s="32" t="n"/>
      <c r="P70" s="32" t="n"/>
      <c r="Q70" s="32" t="n"/>
      <c r="R70" s="31" t="n"/>
      <c r="S70" s="31" t="n"/>
      <c r="T70" s="31" t="n"/>
      <c r="U70" s="27" t="n"/>
      <c r="V70" s="8" t="n"/>
      <c r="W70" s="8" t="n"/>
      <c r="X70" s="8" t="n"/>
      <c r="Y70" s="8" t="n"/>
      <c r="Z70" s="8" t="n"/>
    </row>
    <row r="71" ht="13.5" customHeight="1" s="1">
      <c r="A71" s="59" t="n">
        <v>63</v>
      </c>
      <c r="B71" s="34" t="inlineStr">
        <is>
          <t>VIII</t>
        </is>
      </c>
      <c r="C71" s="31" t="n"/>
      <c r="D71" s="31" t="n"/>
      <c r="E71" s="32" t="n"/>
      <c r="F71" s="32" t="n"/>
      <c r="G71" s="32" t="n"/>
      <c r="H71" s="32" t="n"/>
      <c r="I71" s="32" t="n"/>
      <c r="J71" s="165" t="n"/>
      <c r="K71" s="32" t="n"/>
      <c r="L71" s="32" t="n"/>
      <c r="M71" s="32" t="n"/>
      <c r="N71" s="32" t="n"/>
      <c r="O71" s="32" t="n"/>
      <c r="P71" s="31" t="n"/>
      <c r="Q71" s="31" t="n"/>
      <c r="R71" s="31" t="n"/>
      <c r="S71" s="31" t="n"/>
      <c r="T71" s="31" t="n"/>
      <c r="U71" s="27" t="n"/>
      <c r="V71" s="8" t="n"/>
      <c r="W71" s="8" t="n"/>
      <c r="X71" s="8" t="n"/>
      <c r="Y71" s="8" t="n"/>
      <c r="Z71" s="8" t="n"/>
    </row>
    <row r="72" ht="13.5" customHeight="1" s="1">
      <c r="A72" s="33" t="n">
        <v>64</v>
      </c>
      <c r="B72" s="34" t="inlineStr">
        <is>
          <t>VIII</t>
        </is>
      </c>
      <c r="C72" s="31" t="n"/>
      <c r="D72" s="31" t="n"/>
      <c r="E72" s="32" t="n"/>
      <c r="F72" s="32" t="n"/>
      <c r="G72" s="32" t="n"/>
      <c r="H72" s="32" t="n"/>
      <c r="I72" s="32" t="n"/>
      <c r="J72" s="165" t="n"/>
      <c r="K72" s="32" t="n"/>
      <c r="L72" s="32" t="n"/>
      <c r="M72" s="32" t="n"/>
      <c r="N72" s="32" t="n"/>
      <c r="O72" s="32" t="n"/>
      <c r="P72" s="31" t="n"/>
      <c r="Q72" s="31" t="n"/>
      <c r="R72" s="31" t="n"/>
      <c r="S72" s="31" t="n"/>
      <c r="T72" s="31" t="n"/>
      <c r="U72" s="27" t="n"/>
      <c r="V72" s="8" t="n"/>
      <c r="W72" s="8" t="n"/>
      <c r="X72" s="8" t="n"/>
      <c r="Y72" s="8" t="n"/>
      <c r="Z72" s="8" t="n"/>
    </row>
    <row r="73" ht="13.5" customHeight="1" s="1">
      <c r="A73" s="59" t="n">
        <v>65</v>
      </c>
      <c r="B73" s="34" t="inlineStr">
        <is>
          <t>VIII</t>
        </is>
      </c>
      <c r="C73" s="31" t="n"/>
      <c r="D73" s="31" t="n"/>
      <c r="E73" s="32" t="n"/>
      <c r="F73" s="32" t="n"/>
      <c r="G73" s="32" t="n"/>
      <c r="H73" s="32" t="n"/>
      <c r="I73" s="32" t="n"/>
      <c r="J73" s="165" t="n"/>
      <c r="K73" s="32" t="n"/>
      <c r="L73" s="32" t="n"/>
      <c r="M73" s="32" t="n"/>
      <c r="N73" s="32" t="n"/>
      <c r="O73" s="32" t="n"/>
      <c r="P73" s="31" t="n"/>
      <c r="Q73" s="31" t="n"/>
      <c r="R73" s="31" t="n"/>
      <c r="S73" s="31" t="n"/>
      <c r="T73" s="31" t="n"/>
      <c r="U73" s="27" t="n"/>
      <c r="V73" s="8" t="n"/>
      <c r="W73" s="8" t="n"/>
      <c r="X73" s="8" t="n"/>
      <c r="Y73" s="8" t="n"/>
      <c r="Z73" s="8" t="n"/>
    </row>
    <row r="74" ht="13.5" customHeight="1" s="1">
      <c r="A74" s="33" t="n">
        <v>66</v>
      </c>
      <c r="B74" s="34" t="inlineStr">
        <is>
          <t>VIII</t>
        </is>
      </c>
      <c r="C74" s="31" t="n"/>
      <c r="D74" s="31" t="n"/>
      <c r="E74" s="32" t="n"/>
      <c r="F74" s="32" t="n"/>
      <c r="G74" s="32" t="n"/>
      <c r="H74" s="32" t="n"/>
      <c r="I74" s="32" t="n"/>
      <c r="J74" s="165" t="n"/>
      <c r="K74" s="32" t="n"/>
      <c r="L74" s="32" t="n"/>
      <c r="M74" s="32" t="n"/>
      <c r="N74" s="32" t="n"/>
      <c r="O74" s="32" t="n"/>
      <c r="P74" s="31" t="n"/>
      <c r="Q74" s="31" t="n"/>
      <c r="R74" s="31" t="n"/>
      <c r="S74" s="31" t="n"/>
      <c r="T74" s="31" t="n"/>
      <c r="U74" s="27" t="n"/>
      <c r="V74" s="8" t="n"/>
      <c r="W74" s="8" t="n"/>
      <c r="X74" s="8" t="n"/>
      <c r="Y74" s="8" t="n"/>
      <c r="Z74" s="8" t="n"/>
    </row>
    <row r="75" ht="13.5" customHeight="1" s="1">
      <c r="A75" s="59" t="n">
        <v>67</v>
      </c>
      <c r="B75" s="34" t="inlineStr">
        <is>
          <t>VIII</t>
        </is>
      </c>
      <c r="C75" s="31" t="n"/>
      <c r="D75" s="31" t="n"/>
      <c r="E75" s="32" t="n"/>
      <c r="F75" s="32" t="n"/>
      <c r="G75" s="32" t="n"/>
      <c r="H75" s="32" t="n"/>
      <c r="I75" s="32" t="n"/>
      <c r="J75" s="165" t="n"/>
      <c r="K75" s="32" t="n"/>
      <c r="L75" s="32" t="n"/>
      <c r="M75" s="32" t="n"/>
      <c r="N75" s="32" t="n"/>
      <c r="O75" s="32" t="n"/>
      <c r="P75" s="31" t="n"/>
      <c r="Q75" s="31" t="n"/>
      <c r="R75" s="31" t="n"/>
      <c r="S75" s="31" t="n"/>
      <c r="T75" s="31" t="n"/>
      <c r="U75" s="27" t="n"/>
      <c r="V75" s="8" t="n"/>
      <c r="W75" s="8" t="n"/>
      <c r="X75" s="8" t="n"/>
      <c r="Y75" s="8" t="n"/>
      <c r="Z75" s="8" t="n"/>
    </row>
    <row r="76" ht="13.5" customHeight="1" s="1">
      <c r="A76" s="33" t="n">
        <v>68</v>
      </c>
      <c r="B76" s="34" t="inlineStr">
        <is>
          <t>VIII</t>
        </is>
      </c>
      <c r="C76" s="31" t="n"/>
      <c r="D76" s="31" t="n"/>
      <c r="E76" s="32" t="n"/>
      <c r="F76" s="32" t="n"/>
      <c r="G76" s="32" t="n"/>
      <c r="H76" s="32" t="n"/>
      <c r="I76" s="32" t="n"/>
      <c r="J76" s="165" t="n"/>
      <c r="K76" s="32" t="n"/>
      <c r="L76" s="32" t="n"/>
      <c r="M76" s="32" t="n"/>
      <c r="N76" s="32" t="n"/>
      <c r="O76" s="32" t="n"/>
      <c r="P76" s="31" t="n"/>
      <c r="Q76" s="31" t="n"/>
      <c r="R76" s="31" t="n"/>
      <c r="S76" s="31" t="n"/>
      <c r="T76" s="31" t="n"/>
      <c r="U76" s="27" t="n"/>
      <c r="V76" s="8" t="n"/>
      <c r="W76" s="8" t="n"/>
      <c r="X76" s="8" t="n"/>
      <c r="Y76" s="8" t="n"/>
      <c r="Z76" s="8" t="n"/>
    </row>
    <row r="77" ht="13.5" customHeight="1" s="1">
      <c r="A77" s="59" t="n">
        <v>69</v>
      </c>
      <c r="B77" s="34" t="inlineStr">
        <is>
          <t>VIII</t>
        </is>
      </c>
      <c r="C77" s="31" t="n"/>
      <c r="D77" s="31" t="n"/>
      <c r="E77" s="32" t="n"/>
      <c r="F77" s="32" t="n"/>
      <c r="G77" s="32" t="n"/>
      <c r="H77" s="32" t="n"/>
      <c r="I77" s="32" t="n"/>
      <c r="J77" s="165" t="n"/>
      <c r="K77" s="32" t="n"/>
      <c r="L77" s="32" t="n"/>
      <c r="M77" s="32" t="n"/>
      <c r="N77" s="32" t="n"/>
      <c r="O77" s="32" t="n"/>
      <c r="P77" s="31" t="n"/>
      <c r="Q77" s="31" t="n"/>
      <c r="R77" s="31" t="n"/>
      <c r="S77" s="31" t="n"/>
      <c r="T77" s="31" t="n"/>
      <c r="U77" s="27" t="n"/>
      <c r="V77" s="8" t="n"/>
      <c r="W77" s="8" t="n"/>
      <c r="X77" s="8" t="n"/>
      <c r="Y77" s="8" t="n"/>
      <c r="Z77" s="8" t="n"/>
    </row>
    <row r="78" ht="13.5" customHeight="1" s="1">
      <c r="A78" s="33" t="n">
        <v>70</v>
      </c>
      <c r="B78" s="34" t="inlineStr">
        <is>
          <t>VIII</t>
        </is>
      </c>
      <c r="C78" s="31" t="n"/>
      <c r="D78" s="31" t="n"/>
      <c r="E78" s="32" t="n"/>
      <c r="F78" s="32" t="n"/>
      <c r="G78" s="32" t="n"/>
      <c r="H78" s="32" t="n"/>
      <c r="I78" s="32" t="n"/>
      <c r="J78" s="165" t="n"/>
      <c r="K78" s="32" t="n"/>
      <c r="L78" s="32" t="n"/>
      <c r="M78" s="32" t="n"/>
      <c r="N78" s="32" t="n"/>
      <c r="O78" s="32" t="n"/>
      <c r="P78" s="31" t="n"/>
      <c r="Q78" s="31" t="n"/>
      <c r="R78" s="31" t="n"/>
      <c r="S78" s="31" t="n"/>
      <c r="T78" s="31" t="n"/>
      <c r="U78" s="27" t="n"/>
      <c r="V78" s="8" t="n"/>
      <c r="W78" s="8" t="n"/>
      <c r="X78" s="8" t="n"/>
      <c r="Y78" s="8" t="n"/>
      <c r="Z78" s="8" t="n"/>
    </row>
    <row r="79" ht="13.5" customHeight="1" s="1">
      <c r="A79" s="59" t="n">
        <v>71</v>
      </c>
      <c r="B79" s="34" t="inlineStr">
        <is>
          <t>VIII</t>
        </is>
      </c>
      <c r="C79" s="31" t="n"/>
      <c r="D79" s="31" t="n"/>
      <c r="E79" s="32" t="n"/>
      <c r="F79" s="32" t="n"/>
      <c r="G79" s="32" t="n"/>
      <c r="H79" s="32" t="n"/>
      <c r="I79" s="32" t="n"/>
      <c r="J79" s="165" t="n"/>
      <c r="K79" s="32" t="n"/>
      <c r="L79" s="32" t="n"/>
      <c r="M79" s="32" t="n"/>
      <c r="N79" s="32" t="n"/>
      <c r="O79" s="32" t="n"/>
      <c r="P79" s="31" t="n"/>
      <c r="Q79" s="31" t="n"/>
      <c r="R79" s="31" t="n"/>
      <c r="S79" s="31" t="n"/>
      <c r="T79" s="31" t="n"/>
      <c r="U79" s="27" t="n"/>
      <c r="V79" s="8" t="n"/>
      <c r="W79" s="8" t="n"/>
      <c r="X79" s="8" t="n"/>
      <c r="Y79" s="8" t="n"/>
      <c r="Z79" s="8" t="n"/>
    </row>
    <row r="80" ht="13.5" customHeight="1" s="1">
      <c r="A80" s="33" t="n">
        <v>72</v>
      </c>
      <c r="B80" s="34" t="inlineStr">
        <is>
          <t>VIII</t>
        </is>
      </c>
      <c r="C80" s="31" t="n"/>
      <c r="D80" s="31" t="n"/>
      <c r="E80" s="32" t="n"/>
      <c r="F80" s="32" t="n"/>
      <c r="G80" s="32" t="n"/>
      <c r="H80" s="32" t="n"/>
      <c r="I80" s="32" t="n"/>
      <c r="J80" s="165" t="n"/>
      <c r="K80" s="32" t="n"/>
      <c r="L80" s="32" t="n"/>
      <c r="M80" s="32" t="n"/>
      <c r="N80" s="32" t="n"/>
      <c r="O80" s="32" t="n"/>
      <c r="P80" s="31" t="n"/>
      <c r="Q80" s="31" t="n"/>
      <c r="R80" s="31" t="n"/>
      <c r="S80" s="31" t="n"/>
      <c r="T80" s="31" t="n"/>
      <c r="U80" s="27" t="n"/>
      <c r="V80" s="8" t="n"/>
      <c r="W80" s="8" t="n"/>
      <c r="X80" s="8" t="n"/>
      <c r="Y80" s="8" t="n"/>
      <c r="Z80" s="8" t="n"/>
    </row>
    <row r="81" ht="13.5" customHeight="1" s="1">
      <c r="A81" s="35" t="n"/>
      <c r="B81" s="36" t="n"/>
      <c r="C81" s="37" t="inlineStr">
        <is>
          <t>AVERAGE</t>
        </is>
      </c>
      <c r="D81" s="35" t="n"/>
      <c r="E81" s="38" t="n"/>
      <c r="F81" s="32">
        <f>IFERROR(AVERAGE(F9:F80),0)</f>
        <v/>
      </c>
      <c r="G81" s="32">
        <f>IFERROR(AVERAGE(G9:G80),0)</f>
        <v/>
      </c>
      <c r="H81" s="32">
        <f>IFERROR(AVERAGE(H9:H80),0)</f>
        <v/>
      </c>
      <c r="I81" s="32">
        <f>IFERROR(AVERAGE(I9:I80),0)</f>
        <v/>
      </c>
      <c r="J81" s="32">
        <f>IFERROR(AVERAGE(J9:J80),0)</f>
        <v/>
      </c>
      <c r="K81" s="32">
        <f>IFERROR(AVERAGE(K9:K80),0)</f>
        <v/>
      </c>
      <c r="L81" s="32">
        <f>IFERROR(AVERAGE(L9:L80),0)</f>
        <v/>
      </c>
      <c r="M81" s="32">
        <f>IFERROR(AVERAGE(M9:M80),0)</f>
        <v/>
      </c>
      <c r="N81" s="32">
        <f>IFERROR(AVERAGE(N9:N80),0)</f>
        <v/>
      </c>
      <c r="O81" s="32">
        <f>IFERROR(AVERAGE(O9:O80),0)</f>
        <v/>
      </c>
      <c r="P81" s="32">
        <f>IFERROR(AVERAGE(P9:P80),0)</f>
        <v/>
      </c>
      <c r="Q81" s="32">
        <f>IFERROR(AVERAGE(Q9:Q80),0)</f>
        <v/>
      </c>
      <c r="R81" s="32">
        <f>IFERROR(AVERAGE(R9:R80),0)</f>
        <v/>
      </c>
      <c r="S81" s="32">
        <f>IFERROR(AVERAGE(S9:S80),0)</f>
        <v/>
      </c>
      <c r="T81" s="32">
        <f>IFERROR(AVERAGE(T9:T80),0)</f>
        <v/>
      </c>
      <c r="U81" s="27" t="n"/>
      <c r="V81" s="8" t="n"/>
      <c r="W81" s="8" t="n"/>
      <c r="X81" s="8" t="n"/>
      <c r="Y81" s="8" t="n"/>
      <c r="Z81" s="8" t="n"/>
    </row>
    <row r="82" ht="13.5" customHeight="1" s="1">
      <c r="A82" s="8" t="n"/>
      <c r="B82" s="15" t="n"/>
      <c r="C82" s="8" t="n"/>
      <c r="D82" s="8" t="n"/>
      <c r="E82" s="16" t="n"/>
      <c r="F82" s="39" t="n"/>
      <c r="G82" s="39" t="n"/>
      <c r="H82" s="39" t="n"/>
      <c r="I82" s="39" t="n"/>
      <c r="J82" s="40" t="n"/>
      <c r="K82" s="39" t="n"/>
      <c r="L82" s="39" t="n"/>
      <c r="M82" s="39" t="n"/>
      <c r="N82" s="39" t="n"/>
      <c r="O82" s="39" t="n"/>
      <c r="P82" s="35" t="n"/>
      <c r="Q82" s="35" t="n"/>
      <c r="R82" s="35" t="n"/>
      <c r="S82" s="35" t="n"/>
      <c r="T82" s="35" t="n"/>
      <c r="U82" s="8" t="n"/>
      <c r="V82" s="8" t="n"/>
      <c r="W82" s="8" t="n"/>
      <c r="X82" s="8" t="n"/>
      <c r="Y82" s="8" t="n"/>
      <c r="Z82" s="8" t="n"/>
    </row>
    <row r="83" ht="13.5" customHeight="1" s="1">
      <c r="A83" s="8" t="n"/>
      <c r="B83" s="15" t="n"/>
      <c r="C83" s="8" t="n"/>
      <c r="D83" s="8" t="n"/>
      <c r="E83" s="16" t="n"/>
      <c r="F83" s="16" t="n"/>
      <c r="G83" s="16" t="n"/>
      <c r="H83" s="16" t="n"/>
      <c r="I83" s="16" t="n"/>
      <c r="J83" s="17" t="n"/>
      <c r="K83" s="16" t="n"/>
      <c r="L83" s="16" t="n"/>
      <c r="M83" s="16" t="n"/>
      <c r="N83" s="16" t="n"/>
      <c r="O83" s="16" t="n"/>
      <c r="P83" s="8" t="n"/>
      <c r="Q83" s="8" t="n"/>
      <c r="R83" s="8" t="n"/>
      <c r="S83" s="8" t="n"/>
      <c r="T83" s="8" t="n"/>
      <c r="U83" s="8" t="n"/>
      <c r="V83" s="8" t="n"/>
      <c r="W83" s="8" t="n"/>
      <c r="X83" s="8" t="n"/>
      <c r="Y83" s="8" t="n"/>
      <c r="Z83" s="8" t="n"/>
    </row>
    <row r="84" ht="13.5" customHeight="1" s="1">
      <c r="A84" s="8" t="n"/>
      <c r="B84" s="15" t="n"/>
      <c r="C84" s="8" t="n"/>
      <c r="D84" s="8" t="n"/>
      <c r="E84" s="16" t="n"/>
      <c r="F84" s="16" t="n"/>
      <c r="G84" s="16" t="n"/>
      <c r="H84" s="16" t="n"/>
      <c r="I84" s="16" t="n"/>
      <c r="J84" s="17" t="n"/>
      <c r="K84" s="16" t="n"/>
      <c r="L84" s="16" t="n"/>
      <c r="M84" s="16" t="n"/>
      <c r="N84" s="16" t="n"/>
      <c r="O84" s="16" t="n"/>
      <c r="P84" s="8" t="n"/>
      <c r="Q84" s="8" t="n"/>
      <c r="R84" s="8" t="n"/>
      <c r="S84" s="8" t="n"/>
      <c r="T84" s="8" t="n"/>
      <c r="U84" s="8" t="n"/>
      <c r="V84" s="8" t="n"/>
      <c r="W84" s="8" t="n"/>
      <c r="X84" s="8" t="n"/>
      <c r="Y84" s="8" t="n"/>
      <c r="Z84" s="8" t="n"/>
    </row>
    <row r="85" ht="13.5" customHeight="1" s="1">
      <c r="A85" s="8" t="n"/>
      <c r="B85" s="15" t="n"/>
      <c r="C85" s="8" t="n"/>
      <c r="D85" s="8" t="n"/>
      <c r="E85" s="16" t="n"/>
      <c r="F85" s="16" t="n"/>
      <c r="G85" s="16" t="n"/>
      <c r="H85" s="16" t="n"/>
      <c r="I85" s="16" t="n"/>
      <c r="J85" s="17" t="n"/>
      <c r="K85" s="16" t="n"/>
      <c r="L85" s="16" t="n"/>
      <c r="M85" s="16" t="n"/>
      <c r="N85" s="16" t="n"/>
      <c r="O85" s="16" t="n"/>
      <c r="P85" s="8" t="n"/>
      <c r="Q85" s="8" t="n"/>
      <c r="R85" s="8" t="n"/>
      <c r="S85" s="8" t="n"/>
      <c r="T85" s="8" t="n"/>
      <c r="U85" s="8" t="n"/>
      <c r="V85" s="8" t="n"/>
      <c r="W85" s="8" t="n"/>
      <c r="X85" s="8" t="n"/>
      <c r="Y85" s="8" t="n"/>
      <c r="Z85" s="8" t="n"/>
    </row>
    <row r="86" ht="13.5" customHeight="1" s="1">
      <c r="A86" s="8" t="n"/>
      <c r="B86" s="15" t="n"/>
      <c r="C86" s="8" t="n"/>
      <c r="D86" s="8" t="n"/>
      <c r="E86" s="16" t="n"/>
      <c r="F86" s="16" t="n"/>
      <c r="G86" s="16" t="n"/>
      <c r="H86" s="16" t="n"/>
      <c r="I86" s="16" t="n"/>
      <c r="J86" s="17" t="n"/>
      <c r="K86" s="16" t="n"/>
      <c r="L86" s="16" t="n"/>
      <c r="M86" s="16" t="n"/>
      <c r="N86" s="16" t="n"/>
      <c r="O86" s="16" t="n"/>
      <c r="P86" s="8" t="n"/>
      <c r="Q86" s="8" t="n"/>
      <c r="R86" s="8" t="n"/>
      <c r="S86" s="8" t="n"/>
      <c r="T86" s="8" t="n"/>
      <c r="U86" s="8" t="n"/>
      <c r="V86" s="8" t="n"/>
      <c r="W86" s="8" t="n"/>
      <c r="X86" s="8" t="n"/>
      <c r="Y86" s="8" t="n"/>
      <c r="Z86" s="8" t="n"/>
    </row>
    <row r="87" ht="13.5" customHeight="1" s="1">
      <c r="A87" s="8" t="n"/>
      <c r="B87" s="15" t="n"/>
      <c r="C87" s="8" t="n"/>
      <c r="D87" s="8" t="n"/>
      <c r="E87" s="16" t="n"/>
      <c r="F87" s="16" t="n"/>
      <c r="G87" s="16" t="n"/>
      <c r="H87" s="16" t="n"/>
      <c r="I87" s="16" t="n"/>
      <c r="J87" s="17" t="n"/>
      <c r="K87" s="16" t="n"/>
      <c r="L87" s="16" t="n"/>
      <c r="M87" s="16" t="n"/>
      <c r="N87" s="16" t="n"/>
      <c r="O87" s="16" t="n"/>
      <c r="P87" s="8" t="n"/>
      <c r="Q87" s="8" t="n"/>
      <c r="R87" s="8" t="n"/>
      <c r="S87" s="8" t="n"/>
      <c r="T87" s="8" t="n"/>
      <c r="U87" s="8" t="n"/>
      <c r="V87" s="8" t="n"/>
      <c r="W87" s="8" t="n"/>
      <c r="X87" s="8" t="n"/>
      <c r="Y87" s="8" t="n"/>
      <c r="Z87" s="8" t="n"/>
    </row>
    <row r="88" ht="13.5" customHeight="1" s="1">
      <c r="A88" s="8" t="n"/>
      <c r="B88" s="15" t="n"/>
      <c r="C88" s="8" t="n"/>
      <c r="D88" s="8" t="n"/>
      <c r="E88" s="16" t="n"/>
      <c r="F88" s="16" t="n"/>
      <c r="G88" s="16" t="n"/>
      <c r="H88" s="16" t="n"/>
      <c r="I88" s="16" t="n"/>
      <c r="J88" s="17" t="n"/>
      <c r="K88" s="16" t="n"/>
      <c r="L88" s="16" t="n"/>
      <c r="M88" s="16" t="n"/>
      <c r="N88" s="16" t="n"/>
      <c r="O88" s="16" t="n"/>
      <c r="P88" s="8" t="n"/>
      <c r="Q88" s="8" t="n"/>
      <c r="R88" s="8" t="n"/>
      <c r="S88" s="8" t="n"/>
      <c r="T88" s="8" t="n"/>
      <c r="U88" s="8" t="n"/>
      <c r="V88" s="8" t="n"/>
      <c r="W88" s="8" t="n"/>
      <c r="X88" s="8" t="n"/>
      <c r="Y88" s="8" t="n"/>
      <c r="Z88" s="8" t="n"/>
    </row>
    <row r="89" ht="13.5" customHeight="1" s="1">
      <c r="A89" s="8" t="n"/>
      <c r="B89" s="15" t="n"/>
      <c r="C89" s="8" t="n"/>
      <c r="D89" s="8" t="n"/>
      <c r="E89" s="16" t="n"/>
      <c r="F89" s="16" t="n"/>
      <c r="G89" s="16" t="n"/>
      <c r="H89" s="16" t="n"/>
      <c r="I89" s="16" t="n"/>
      <c r="J89" s="17" t="n"/>
      <c r="K89" s="16" t="n"/>
      <c r="L89" s="16" t="n"/>
      <c r="M89" s="16" t="n"/>
      <c r="N89" s="16" t="n"/>
      <c r="O89" s="16" t="n"/>
      <c r="P89" s="8" t="n"/>
      <c r="Q89" s="8" t="n"/>
      <c r="R89" s="8" t="n"/>
      <c r="S89" s="8" t="n"/>
      <c r="T89" s="8" t="n"/>
      <c r="U89" s="8" t="n"/>
      <c r="V89" s="8" t="n"/>
      <c r="W89" s="8" t="n"/>
      <c r="X89" s="8" t="n"/>
      <c r="Y89" s="8" t="n"/>
      <c r="Z89" s="8" t="n"/>
    </row>
    <row r="90" ht="13.5" customHeight="1" s="1">
      <c r="A90" s="8" t="n"/>
      <c r="B90" s="15" t="n"/>
      <c r="C90" s="8" t="n"/>
      <c r="D90" s="8" t="n"/>
      <c r="E90" s="16" t="n"/>
      <c r="F90" s="16" t="n"/>
      <c r="G90" s="16" t="n"/>
      <c r="H90" s="16" t="n"/>
      <c r="I90" s="16" t="n"/>
      <c r="J90" s="17" t="n"/>
      <c r="K90" s="16" t="n"/>
      <c r="L90" s="16" t="n"/>
      <c r="M90" s="16" t="n"/>
      <c r="N90" s="16" t="n"/>
      <c r="O90" s="16" t="n"/>
      <c r="P90" s="8" t="n"/>
      <c r="Q90" s="8" t="n"/>
      <c r="R90" s="8" t="n"/>
      <c r="S90" s="8" t="n"/>
      <c r="T90" s="8" t="n"/>
      <c r="U90" s="8" t="n"/>
      <c r="V90" s="8" t="n"/>
      <c r="W90" s="8" t="n"/>
      <c r="X90" s="8" t="n"/>
      <c r="Y90" s="8" t="n"/>
      <c r="Z90" s="8" t="n"/>
    </row>
    <row r="91" ht="13.5" customHeight="1" s="1">
      <c r="A91" s="8" t="n"/>
      <c r="B91" s="15" t="n"/>
      <c r="C91" s="8" t="n"/>
      <c r="D91" s="8" t="n"/>
      <c r="E91" s="16" t="n"/>
      <c r="F91" s="16" t="n"/>
      <c r="G91" s="16" t="n"/>
      <c r="H91" s="16" t="n"/>
      <c r="I91" s="16" t="n"/>
      <c r="J91" s="17" t="n"/>
      <c r="K91" s="16" t="n"/>
      <c r="L91" s="16" t="n"/>
      <c r="M91" s="16" t="n"/>
      <c r="N91" s="16" t="n"/>
      <c r="O91" s="16" t="n"/>
      <c r="P91" s="8" t="n"/>
      <c r="Q91" s="8" t="n"/>
      <c r="R91" s="8" t="n"/>
      <c r="S91" s="8" t="n"/>
      <c r="T91" s="8" t="n"/>
      <c r="U91" s="8" t="n"/>
      <c r="V91" s="8" t="n"/>
      <c r="W91" s="8" t="n"/>
      <c r="X91" s="8" t="n"/>
      <c r="Y91" s="8" t="n"/>
      <c r="Z91" s="8" t="n"/>
    </row>
    <row r="92" ht="13.5" customHeight="1" s="1">
      <c r="A92" s="8" t="n"/>
      <c r="B92" s="15" t="n"/>
      <c r="C92" s="8" t="n"/>
      <c r="D92" s="8" t="n"/>
      <c r="E92" s="16" t="n"/>
      <c r="F92" s="16" t="n"/>
      <c r="G92" s="16" t="n"/>
      <c r="H92" s="16" t="n"/>
      <c r="I92" s="16" t="n"/>
      <c r="J92" s="17" t="n"/>
      <c r="K92" s="16" t="n"/>
      <c r="L92" s="16" t="n"/>
      <c r="M92" s="16" t="n"/>
      <c r="N92" s="16" t="n"/>
      <c r="O92" s="16" t="n"/>
      <c r="P92" s="8" t="n"/>
      <c r="Q92" s="8" t="n"/>
      <c r="R92" s="8" t="n"/>
      <c r="S92" s="8" t="n"/>
      <c r="T92" s="8" t="n"/>
      <c r="U92" s="8" t="n"/>
      <c r="V92" s="8" t="n"/>
      <c r="W92" s="8" t="n"/>
      <c r="X92" s="8" t="n"/>
      <c r="Y92" s="8" t="n"/>
      <c r="Z92" s="8" t="n"/>
    </row>
    <row r="93" ht="13.5" customHeight="1" s="1">
      <c r="A93" s="8" t="n"/>
      <c r="B93" s="15" t="n"/>
      <c r="C93" s="8" t="n"/>
      <c r="D93" s="8" t="n"/>
      <c r="E93" s="16" t="n"/>
      <c r="F93" s="16" t="n"/>
      <c r="G93" s="16" t="n"/>
      <c r="H93" s="16" t="n"/>
      <c r="I93" s="16" t="n"/>
      <c r="J93" s="17" t="n"/>
      <c r="K93" s="16" t="n"/>
      <c r="L93" s="16" t="n"/>
      <c r="M93" s="16" t="n"/>
      <c r="N93" s="16" t="n"/>
      <c r="O93" s="16" t="n"/>
      <c r="P93" s="8" t="n"/>
      <c r="Q93" s="8" t="n"/>
      <c r="R93" s="8" t="n"/>
      <c r="S93" s="8" t="n"/>
      <c r="T93" s="8" t="n"/>
      <c r="U93" s="8" t="n"/>
      <c r="V93" s="8" t="n"/>
      <c r="W93" s="8" t="n"/>
      <c r="X93" s="8" t="n"/>
      <c r="Y93" s="8" t="n"/>
      <c r="Z93" s="8" t="n"/>
    </row>
    <row r="94" ht="13.5" customHeight="1" s="1">
      <c r="A94" s="8" t="n"/>
      <c r="B94" s="15" t="n"/>
      <c r="C94" s="8" t="n"/>
      <c r="D94" s="8" t="n"/>
      <c r="E94" s="16" t="n"/>
      <c r="F94" s="16" t="n"/>
      <c r="G94" s="16" t="n"/>
      <c r="H94" s="16" t="n"/>
      <c r="I94" s="16" t="n"/>
      <c r="J94" s="17" t="n"/>
      <c r="K94" s="16" t="n"/>
      <c r="L94" s="16" t="n"/>
      <c r="M94" s="16" t="n"/>
      <c r="N94" s="16" t="n"/>
      <c r="O94" s="16" t="n"/>
      <c r="P94" s="8" t="n"/>
      <c r="Q94" s="8" t="n"/>
      <c r="R94" s="8" t="n"/>
      <c r="S94" s="8" t="n"/>
      <c r="T94" s="8" t="n"/>
      <c r="U94" s="8" t="n"/>
      <c r="V94" s="8" t="n"/>
      <c r="W94" s="8" t="n"/>
      <c r="X94" s="8" t="n"/>
      <c r="Y94" s="8" t="n"/>
      <c r="Z94" s="8" t="n"/>
    </row>
    <row r="95" ht="13.5" customHeight="1" s="1">
      <c r="A95" s="8" t="n"/>
      <c r="B95" s="15" t="n"/>
      <c r="C95" s="8" t="n"/>
      <c r="D95" s="8" t="n"/>
      <c r="E95" s="16" t="n"/>
      <c r="F95" s="16" t="n"/>
      <c r="G95" s="16" t="n"/>
      <c r="H95" s="16" t="n"/>
      <c r="I95" s="16" t="n"/>
      <c r="J95" s="17" t="n"/>
      <c r="K95" s="16" t="n"/>
      <c r="L95" s="16" t="n"/>
      <c r="M95" s="16" t="n"/>
      <c r="N95" s="16" t="n"/>
      <c r="O95" s="16" t="n"/>
      <c r="P95" s="8" t="n"/>
      <c r="Q95" s="8" t="n"/>
      <c r="R95" s="8" t="n"/>
      <c r="S95" s="8" t="n"/>
      <c r="T95" s="8" t="n"/>
      <c r="U95" s="8" t="n"/>
      <c r="V95" s="8" t="n"/>
      <c r="W95" s="8" t="n"/>
      <c r="X95" s="8" t="n"/>
      <c r="Y95" s="8" t="n"/>
      <c r="Z95" s="8" t="n"/>
    </row>
    <row r="96" ht="13.5" customHeight="1" s="1">
      <c r="A96" s="8" t="n"/>
      <c r="B96" s="15" t="n"/>
      <c r="C96" s="8" t="n"/>
      <c r="D96" s="8" t="n"/>
      <c r="E96" s="16" t="n"/>
      <c r="F96" s="16" t="n"/>
      <c r="G96" s="16" t="n"/>
      <c r="H96" s="16" t="n"/>
      <c r="I96" s="16" t="n"/>
      <c r="J96" s="17" t="n"/>
      <c r="K96" s="16" t="n"/>
      <c r="L96" s="16" t="n"/>
      <c r="M96" s="16" t="n"/>
      <c r="N96" s="16" t="n"/>
      <c r="O96" s="16" t="n"/>
      <c r="P96" s="8" t="n"/>
      <c r="Q96" s="8" t="n"/>
      <c r="R96" s="8" t="n"/>
      <c r="S96" s="8" t="n"/>
      <c r="T96" s="8" t="n"/>
      <c r="U96" s="8" t="n"/>
      <c r="V96" s="8" t="n"/>
      <c r="W96" s="8" t="n"/>
      <c r="X96" s="8" t="n"/>
      <c r="Y96" s="8" t="n"/>
      <c r="Z96" s="8" t="n"/>
    </row>
    <row r="97" ht="13.5" customHeight="1" s="1">
      <c r="A97" s="8" t="n"/>
      <c r="B97" s="15" t="n"/>
      <c r="C97" s="8" t="n"/>
      <c r="D97" s="8" t="n"/>
      <c r="E97" s="16" t="n"/>
      <c r="F97" s="16" t="n"/>
      <c r="G97" s="16" t="n"/>
      <c r="H97" s="16" t="n"/>
      <c r="I97" s="16" t="n"/>
      <c r="J97" s="17" t="n"/>
      <c r="K97" s="16" t="n"/>
      <c r="L97" s="16" t="n"/>
      <c r="M97" s="16" t="n"/>
      <c r="N97" s="16" t="n"/>
      <c r="O97" s="16" t="n"/>
      <c r="P97" s="8" t="n"/>
      <c r="Q97" s="8" t="n"/>
      <c r="R97" s="8" t="n"/>
      <c r="S97" s="8" t="n"/>
      <c r="T97" s="8" t="n"/>
      <c r="U97" s="8" t="n"/>
      <c r="V97" s="8" t="n"/>
      <c r="W97" s="8" t="n"/>
      <c r="X97" s="8" t="n"/>
      <c r="Y97" s="8" t="n"/>
      <c r="Z97" s="8" t="n"/>
    </row>
    <row r="98" ht="13.5" customHeight="1" s="1">
      <c r="A98" s="8" t="n"/>
      <c r="B98" s="15" t="n"/>
      <c r="C98" s="8" t="n"/>
      <c r="D98" s="8" t="n"/>
      <c r="E98" s="16" t="n"/>
      <c r="F98" s="16" t="n"/>
      <c r="G98" s="16" t="n"/>
      <c r="H98" s="16" t="n"/>
      <c r="I98" s="16" t="n"/>
      <c r="J98" s="17" t="n"/>
      <c r="K98" s="16" t="n"/>
      <c r="L98" s="16" t="n"/>
      <c r="M98" s="16" t="n"/>
      <c r="N98" s="16" t="n"/>
      <c r="O98" s="16" t="n"/>
      <c r="P98" s="8" t="n"/>
      <c r="Q98" s="8" t="n"/>
      <c r="R98" s="8" t="n"/>
      <c r="S98" s="8" t="n"/>
      <c r="T98" s="8" t="n"/>
      <c r="U98" s="8" t="n"/>
      <c r="V98" s="8" t="n"/>
      <c r="W98" s="8" t="n"/>
      <c r="X98" s="8" t="n"/>
      <c r="Y98" s="8" t="n"/>
      <c r="Z98" s="8" t="n"/>
    </row>
    <row r="99" ht="13.5" customHeight="1" s="1">
      <c r="A99" s="8" t="n"/>
      <c r="B99" s="15" t="n"/>
      <c r="C99" s="8" t="n"/>
      <c r="D99" s="8" t="n"/>
      <c r="E99" s="16" t="n"/>
      <c r="F99" s="16" t="n"/>
      <c r="G99" s="16" t="n"/>
      <c r="H99" s="16" t="n"/>
      <c r="I99" s="16" t="n"/>
      <c r="J99" s="17" t="n"/>
      <c r="K99" s="16" t="n"/>
      <c r="L99" s="16" t="n"/>
      <c r="M99" s="16" t="n"/>
      <c r="N99" s="16" t="n"/>
      <c r="O99" s="16" t="n"/>
      <c r="P99" s="8" t="n"/>
      <c r="Q99" s="8" t="n"/>
      <c r="R99" s="8" t="n"/>
      <c r="S99" s="8" t="n"/>
      <c r="T99" s="8" t="n"/>
      <c r="U99" s="8" t="n"/>
      <c r="V99" s="8" t="n"/>
      <c r="W99" s="8" t="n"/>
      <c r="X99" s="8" t="n"/>
      <c r="Y99" s="8" t="n"/>
      <c r="Z99" s="8" t="n"/>
    </row>
    <row r="100" ht="13.5" customHeight="1" s="1">
      <c r="A100" s="8" t="n"/>
      <c r="B100" s="15" t="n"/>
      <c r="C100" s="8" t="n"/>
      <c r="D100" s="8" t="n"/>
      <c r="E100" s="16" t="n"/>
      <c r="F100" s="16" t="n"/>
      <c r="G100" s="16" t="n"/>
      <c r="H100" s="16" t="n"/>
      <c r="I100" s="16" t="n"/>
      <c r="J100" s="17" t="n"/>
      <c r="K100" s="16" t="n"/>
      <c r="L100" s="16" t="n"/>
      <c r="M100" s="16" t="n"/>
      <c r="N100" s="16" t="n"/>
      <c r="O100" s="16" t="n"/>
      <c r="P100" s="8" t="n"/>
      <c r="Q100" s="8" t="n"/>
      <c r="R100" s="8" t="n"/>
      <c r="S100" s="8" t="n"/>
      <c r="T100" s="8" t="n"/>
      <c r="U100" s="8" t="n"/>
      <c r="V100" s="8" t="n"/>
      <c r="W100" s="8" t="n"/>
      <c r="X100" s="8" t="n"/>
      <c r="Y100" s="8" t="n"/>
      <c r="Z100" s="8" t="n"/>
    </row>
    <row r="101" ht="13.5" customHeight="1" s="1">
      <c r="A101" s="8" t="n"/>
      <c r="B101" s="15" t="n"/>
      <c r="C101" s="8" t="n"/>
      <c r="D101" s="8" t="n"/>
      <c r="E101" s="16" t="n"/>
      <c r="F101" s="16" t="n"/>
      <c r="G101" s="16" t="n"/>
      <c r="H101" s="16" t="n"/>
      <c r="I101" s="16" t="n"/>
      <c r="J101" s="17" t="n"/>
      <c r="K101" s="16" t="n"/>
      <c r="L101" s="16" t="n"/>
      <c r="M101" s="16" t="n"/>
      <c r="N101" s="16" t="n"/>
      <c r="O101" s="16" t="n"/>
      <c r="P101" s="8" t="n"/>
      <c r="Q101" s="8" t="n"/>
      <c r="R101" s="8" t="n"/>
      <c r="S101" s="8" t="n"/>
      <c r="T101" s="8" t="n"/>
      <c r="U101" s="8" t="n"/>
      <c r="V101" s="8" t="n"/>
      <c r="W101" s="8" t="n"/>
      <c r="X101" s="8" t="n"/>
      <c r="Y101" s="8" t="n"/>
      <c r="Z101" s="8" t="n"/>
    </row>
    <row r="102" ht="13.5" customHeight="1" s="1">
      <c r="A102" s="8" t="n"/>
      <c r="B102" s="15" t="n"/>
      <c r="C102" s="8" t="n"/>
      <c r="D102" s="8" t="n"/>
      <c r="E102" s="16" t="n"/>
      <c r="F102" s="16" t="n"/>
      <c r="G102" s="16" t="n"/>
      <c r="H102" s="16" t="n"/>
      <c r="I102" s="16" t="n"/>
      <c r="J102" s="17" t="n"/>
      <c r="K102" s="16" t="n"/>
      <c r="L102" s="16" t="n"/>
      <c r="M102" s="16" t="n"/>
      <c r="N102" s="16" t="n"/>
      <c r="O102" s="16" t="n"/>
      <c r="P102" s="8" t="n"/>
      <c r="Q102" s="8" t="n"/>
      <c r="R102" s="8" t="n"/>
      <c r="S102" s="8" t="n"/>
      <c r="T102" s="8" t="n"/>
      <c r="U102" s="8" t="n"/>
      <c r="V102" s="8" t="n"/>
      <c r="W102" s="8" t="n"/>
      <c r="X102" s="8" t="n"/>
      <c r="Y102" s="8" t="n"/>
      <c r="Z102" s="8" t="n"/>
    </row>
    <row r="103" ht="13.5" customHeight="1" s="1">
      <c r="A103" s="8" t="n"/>
      <c r="B103" s="15" t="n"/>
      <c r="C103" s="8" t="n"/>
      <c r="D103" s="8" t="n"/>
      <c r="E103" s="16" t="n"/>
      <c r="F103" s="16" t="n"/>
      <c r="G103" s="16" t="n"/>
      <c r="H103" s="16" t="n"/>
      <c r="I103" s="16" t="n"/>
      <c r="J103" s="17" t="n"/>
      <c r="K103" s="16" t="n"/>
      <c r="L103" s="16" t="n"/>
      <c r="M103" s="16" t="n"/>
      <c r="N103" s="16" t="n"/>
      <c r="O103" s="16" t="n"/>
      <c r="P103" s="8" t="n"/>
      <c r="Q103" s="8" t="n"/>
      <c r="R103" s="8" t="n"/>
      <c r="S103" s="8" t="n"/>
      <c r="T103" s="8" t="n"/>
      <c r="U103" s="8" t="n"/>
      <c r="V103" s="8" t="n"/>
      <c r="W103" s="8" t="n"/>
      <c r="X103" s="8" t="n"/>
      <c r="Y103" s="8" t="n"/>
      <c r="Z103" s="8" t="n"/>
    </row>
    <row r="104" ht="13.5" customHeight="1" s="1">
      <c r="A104" s="8" t="n"/>
      <c r="B104" s="15" t="n"/>
      <c r="C104" s="8" t="n"/>
      <c r="D104" s="8" t="n"/>
      <c r="E104" s="16" t="n"/>
      <c r="F104" s="16" t="n"/>
      <c r="G104" s="16" t="n"/>
      <c r="H104" s="16" t="n"/>
      <c r="I104" s="16" t="n"/>
      <c r="J104" s="17" t="n"/>
      <c r="K104" s="16" t="n"/>
      <c r="L104" s="16" t="n"/>
      <c r="M104" s="16" t="n"/>
      <c r="N104" s="16" t="n"/>
      <c r="O104" s="16" t="n"/>
      <c r="P104" s="8" t="n"/>
      <c r="Q104" s="8" t="n"/>
      <c r="R104" s="8" t="n"/>
      <c r="S104" s="8" t="n"/>
      <c r="T104" s="8" t="n"/>
      <c r="U104" s="8" t="n"/>
      <c r="V104" s="8" t="n"/>
      <c r="W104" s="8" t="n"/>
      <c r="X104" s="8" t="n"/>
      <c r="Y104" s="8" t="n"/>
      <c r="Z104" s="8" t="n"/>
    </row>
    <row r="105" ht="13.5" customHeight="1" s="1">
      <c r="A105" s="8" t="n"/>
      <c r="B105" s="15" t="n"/>
      <c r="C105" s="8" t="n"/>
      <c r="D105" s="8" t="n"/>
      <c r="E105" s="16" t="n"/>
      <c r="F105" s="16" t="n"/>
      <c r="G105" s="16" t="n"/>
      <c r="H105" s="16" t="n"/>
      <c r="I105" s="16" t="n"/>
      <c r="J105" s="17" t="n"/>
      <c r="K105" s="16" t="n"/>
      <c r="L105" s="16" t="n"/>
      <c r="M105" s="16" t="n"/>
      <c r="N105" s="16" t="n"/>
      <c r="O105" s="16" t="n"/>
      <c r="P105" s="8" t="n"/>
      <c r="Q105" s="8" t="n"/>
      <c r="R105" s="8" t="n"/>
      <c r="S105" s="8" t="n"/>
      <c r="T105" s="8" t="n"/>
      <c r="U105" s="8" t="n"/>
      <c r="V105" s="8" t="n"/>
      <c r="W105" s="8" t="n"/>
      <c r="X105" s="8" t="n"/>
      <c r="Y105" s="8" t="n"/>
      <c r="Z105" s="8" t="n"/>
    </row>
    <row r="106" ht="13.5" customHeight="1" s="1">
      <c r="A106" s="8" t="n"/>
      <c r="B106" s="15" t="n"/>
      <c r="C106" s="8" t="n"/>
      <c r="D106" s="8" t="n"/>
      <c r="E106" s="16" t="n"/>
      <c r="F106" s="16" t="n"/>
      <c r="G106" s="16" t="n"/>
      <c r="H106" s="16" t="n"/>
      <c r="I106" s="16" t="n"/>
      <c r="J106" s="17" t="n"/>
      <c r="K106" s="16" t="n"/>
      <c r="L106" s="16" t="n"/>
      <c r="M106" s="16" t="n"/>
      <c r="N106" s="16" t="n"/>
      <c r="O106" s="16" t="n"/>
      <c r="P106" s="8" t="n"/>
      <c r="Q106" s="8" t="n"/>
      <c r="R106" s="8" t="n"/>
      <c r="S106" s="8" t="n"/>
      <c r="T106" s="8" t="n"/>
      <c r="U106" s="8" t="n"/>
      <c r="V106" s="8" t="n"/>
      <c r="W106" s="8" t="n"/>
      <c r="X106" s="8" t="n"/>
      <c r="Y106" s="8" t="n"/>
      <c r="Z106" s="8" t="n"/>
    </row>
    <row r="107" ht="13.5" customHeight="1" s="1">
      <c r="A107" s="8" t="n"/>
      <c r="B107" s="15" t="n"/>
      <c r="C107" s="8" t="n"/>
      <c r="D107" s="8" t="n"/>
      <c r="E107" s="16" t="n"/>
      <c r="F107" s="16" t="n"/>
      <c r="G107" s="16" t="n"/>
      <c r="H107" s="16" t="n"/>
      <c r="I107" s="16" t="n"/>
      <c r="J107" s="17" t="n"/>
      <c r="K107" s="16" t="n"/>
      <c r="L107" s="16" t="n"/>
      <c r="M107" s="16" t="n"/>
      <c r="N107" s="16" t="n"/>
      <c r="O107" s="16" t="n"/>
      <c r="P107" s="8" t="n"/>
      <c r="Q107" s="8" t="n"/>
      <c r="R107" s="8" t="n"/>
      <c r="S107" s="8" t="n"/>
      <c r="T107" s="8" t="n"/>
      <c r="U107" s="8" t="n"/>
      <c r="V107" s="8" t="n"/>
      <c r="W107" s="8" t="n"/>
      <c r="X107" s="8" t="n"/>
      <c r="Y107" s="8" t="n"/>
      <c r="Z107" s="8" t="n"/>
    </row>
    <row r="108" ht="13.5" customHeight="1" s="1">
      <c r="A108" s="8" t="n"/>
      <c r="B108" s="15" t="n"/>
      <c r="C108" s="8" t="n"/>
      <c r="D108" s="8" t="n"/>
      <c r="E108" s="16" t="n"/>
      <c r="F108" s="16" t="n"/>
      <c r="G108" s="16" t="n"/>
      <c r="H108" s="16" t="n"/>
      <c r="I108" s="16" t="n"/>
      <c r="J108" s="17" t="n"/>
      <c r="K108" s="16" t="n"/>
      <c r="L108" s="16" t="n"/>
      <c r="M108" s="16" t="n"/>
      <c r="N108" s="16" t="n"/>
      <c r="O108" s="16" t="n"/>
      <c r="P108" s="8" t="n"/>
      <c r="Q108" s="8" t="n"/>
      <c r="R108" s="8" t="n"/>
      <c r="S108" s="8" t="n"/>
      <c r="T108" s="8" t="n"/>
      <c r="U108" s="8" t="n"/>
      <c r="V108" s="8" t="n"/>
      <c r="W108" s="8" t="n"/>
      <c r="X108" s="8" t="n"/>
      <c r="Y108" s="8" t="n"/>
      <c r="Z108" s="8" t="n"/>
    </row>
    <row r="109" ht="13.5" customHeight="1" s="1">
      <c r="A109" s="8" t="n"/>
      <c r="B109" s="15" t="n"/>
      <c r="C109" s="8" t="n"/>
      <c r="D109" s="8" t="n"/>
      <c r="E109" s="16" t="n"/>
      <c r="F109" s="16" t="n"/>
      <c r="G109" s="16" t="n"/>
      <c r="H109" s="16" t="n"/>
      <c r="I109" s="16" t="n"/>
      <c r="J109" s="17" t="n"/>
      <c r="K109" s="16" t="n"/>
      <c r="L109" s="16" t="n"/>
      <c r="M109" s="16" t="n"/>
      <c r="N109" s="16" t="n"/>
      <c r="O109" s="16" t="n"/>
      <c r="P109" s="8" t="n"/>
      <c r="Q109" s="8" t="n"/>
      <c r="R109" s="8" t="n"/>
      <c r="S109" s="8" t="n"/>
      <c r="T109" s="8" t="n"/>
      <c r="U109" s="8" t="n"/>
      <c r="V109" s="8" t="n"/>
      <c r="W109" s="8" t="n"/>
      <c r="X109" s="8" t="n"/>
      <c r="Y109" s="8" t="n"/>
      <c r="Z109" s="8" t="n"/>
    </row>
    <row r="110" ht="13.5" customHeight="1" s="1">
      <c r="A110" s="8" t="n"/>
      <c r="B110" s="15" t="n"/>
      <c r="C110" s="8" t="n"/>
      <c r="D110" s="8" t="n"/>
      <c r="E110" s="16" t="n"/>
      <c r="F110" s="16" t="n"/>
      <c r="G110" s="16" t="n"/>
      <c r="H110" s="16" t="n"/>
      <c r="I110" s="16" t="n"/>
      <c r="J110" s="17" t="n"/>
      <c r="K110" s="16" t="n"/>
      <c r="L110" s="16" t="n"/>
      <c r="M110" s="16" t="n"/>
      <c r="N110" s="16" t="n"/>
      <c r="O110" s="16" t="n"/>
      <c r="P110" s="8" t="n"/>
      <c r="Q110" s="8" t="n"/>
      <c r="R110" s="8" t="n"/>
      <c r="S110" s="8" t="n"/>
      <c r="T110" s="8" t="n"/>
      <c r="U110" s="8" t="n"/>
      <c r="V110" s="8" t="n"/>
      <c r="W110" s="8" t="n"/>
      <c r="X110" s="8" t="n"/>
      <c r="Y110" s="8" t="n"/>
      <c r="Z110" s="8" t="n"/>
    </row>
    <row r="111" ht="13.5" customHeight="1" s="1">
      <c r="A111" s="8" t="n"/>
      <c r="B111" s="15" t="n"/>
      <c r="C111" s="8" t="n"/>
      <c r="D111" s="8" t="n"/>
      <c r="E111" s="16" t="n"/>
      <c r="F111" s="16" t="n"/>
      <c r="G111" s="16" t="n"/>
      <c r="H111" s="16" t="n"/>
      <c r="I111" s="16" t="n"/>
      <c r="J111" s="17" t="n"/>
      <c r="K111" s="16" t="n"/>
      <c r="L111" s="16" t="n"/>
      <c r="M111" s="16" t="n"/>
      <c r="N111" s="16" t="n"/>
      <c r="O111" s="16" t="n"/>
      <c r="P111" s="8" t="n"/>
      <c r="Q111" s="8" t="n"/>
      <c r="R111" s="8" t="n"/>
      <c r="S111" s="8" t="n"/>
      <c r="T111" s="8" t="n"/>
      <c r="U111" s="8" t="n"/>
      <c r="V111" s="8" t="n"/>
      <c r="W111" s="8" t="n"/>
      <c r="X111" s="8" t="n"/>
      <c r="Y111" s="8" t="n"/>
      <c r="Z111" s="8" t="n"/>
    </row>
    <row r="112" ht="13.5" customHeight="1" s="1">
      <c r="A112" s="8" t="n"/>
      <c r="B112" s="15" t="n"/>
      <c r="C112" s="8" t="n"/>
      <c r="D112" s="8" t="n"/>
      <c r="E112" s="16" t="n"/>
      <c r="F112" s="16" t="n"/>
      <c r="G112" s="16" t="n"/>
      <c r="H112" s="16" t="n"/>
      <c r="I112" s="16" t="n"/>
      <c r="J112" s="17" t="n"/>
      <c r="K112" s="16" t="n"/>
      <c r="L112" s="16" t="n"/>
      <c r="M112" s="16" t="n"/>
      <c r="N112" s="16" t="n"/>
      <c r="O112" s="16" t="n"/>
      <c r="P112" s="8" t="n"/>
      <c r="Q112" s="8" t="n"/>
      <c r="R112" s="8" t="n"/>
      <c r="S112" s="8" t="n"/>
      <c r="T112" s="8" t="n"/>
      <c r="U112" s="8" t="n"/>
      <c r="V112" s="8" t="n"/>
      <c r="W112" s="8" t="n"/>
      <c r="X112" s="8" t="n"/>
      <c r="Y112" s="8" t="n"/>
      <c r="Z112" s="8" t="n"/>
    </row>
    <row r="113" ht="13.5" customHeight="1" s="1">
      <c r="A113" s="8" t="n"/>
      <c r="B113" s="15" t="n"/>
      <c r="C113" s="8" t="n"/>
      <c r="D113" s="8" t="n"/>
      <c r="E113" s="16" t="n"/>
      <c r="F113" s="16" t="n"/>
      <c r="G113" s="16" t="n"/>
      <c r="H113" s="16" t="n"/>
      <c r="I113" s="16" t="n"/>
      <c r="J113" s="17" t="n"/>
      <c r="K113" s="16" t="n"/>
      <c r="L113" s="16" t="n"/>
      <c r="M113" s="16" t="n"/>
      <c r="N113" s="16" t="n"/>
      <c r="O113" s="16" t="n"/>
      <c r="P113" s="8" t="n"/>
      <c r="Q113" s="8" t="n"/>
      <c r="R113" s="8" t="n"/>
      <c r="S113" s="8" t="n"/>
      <c r="T113" s="8" t="n"/>
      <c r="U113" s="8" t="n"/>
      <c r="V113" s="8" t="n"/>
      <c r="W113" s="8" t="n"/>
      <c r="X113" s="8" t="n"/>
      <c r="Y113" s="8" t="n"/>
      <c r="Z113" s="8" t="n"/>
    </row>
    <row r="114" ht="13.5" customHeight="1" s="1">
      <c r="A114" s="8" t="n"/>
      <c r="B114" s="15" t="n"/>
      <c r="C114" s="8" t="n"/>
      <c r="D114" s="8" t="n"/>
      <c r="E114" s="16" t="n"/>
      <c r="F114" s="16" t="n"/>
      <c r="G114" s="16" t="n"/>
      <c r="H114" s="16" t="n"/>
      <c r="I114" s="16" t="n"/>
      <c r="J114" s="17" t="n"/>
      <c r="K114" s="16" t="n"/>
      <c r="L114" s="16" t="n"/>
      <c r="M114" s="16" t="n"/>
      <c r="N114" s="16" t="n"/>
      <c r="O114" s="16" t="n"/>
      <c r="P114" s="8" t="n"/>
      <c r="Q114" s="8" t="n"/>
      <c r="R114" s="8" t="n"/>
      <c r="S114" s="8" t="n"/>
      <c r="T114" s="8" t="n"/>
      <c r="U114" s="8" t="n"/>
      <c r="V114" s="8" t="n"/>
      <c r="W114" s="8" t="n"/>
      <c r="X114" s="8" t="n"/>
      <c r="Y114" s="8" t="n"/>
      <c r="Z114" s="8" t="n"/>
    </row>
    <row r="115" ht="13.5" customHeight="1" s="1">
      <c r="A115" s="8" t="n"/>
      <c r="B115" s="15" t="n"/>
      <c r="C115" s="8" t="n"/>
      <c r="D115" s="8" t="n"/>
      <c r="E115" s="16" t="n"/>
      <c r="F115" s="16" t="n"/>
      <c r="G115" s="16" t="n"/>
      <c r="H115" s="16" t="n"/>
      <c r="I115" s="16" t="n"/>
      <c r="J115" s="17" t="n"/>
      <c r="K115" s="16" t="n"/>
      <c r="L115" s="16" t="n"/>
      <c r="M115" s="16" t="n"/>
      <c r="N115" s="16" t="n"/>
      <c r="O115" s="16" t="n"/>
      <c r="P115" s="8" t="n"/>
      <c r="Q115" s="8" t="n"/>
      <c r="R115" s="8" t="n"/>
      <c r="S115" s="8" t="n"/>
      <c r="T115" s="8" t="n"/>
      <c r="U115" s="8" t="n"/>
      <c r="V115" s="8" t="n"/>
      <c r="W115" s="8" t="n"/>
      <c r="X115" s="8" t="n"/>
      <c r="Y115" s="8" t="n"/>
      <c r="Z115" s="8" t="n"/>
    </row>
    <row r="116" ht="13.5" customHeight="1" s="1">
      <c r="A116" s="8" t="n"/>
      <c r="B116" s="15" t="n"/>
      <c r="C116" s="8" t="n"/>
      <c r="D116" s="8" t="n"/>
      <c r="E116" s="16" t="n"/>
      <c r="F116" s="16" t="n"/>
      <c r="G116" s="16" t="n"/>
      <c r="H116" s="16" t="n"/>
      <c r="I116" s="16" t="n"/>
      <c r="J116" s="17" t="n"/>
      <c r="K116" s="16" t="n"/>
      <c r="L116" s="16" t="n"/>
      <c r="M116" s="16" t="n"/>
      <c r="N116" s="16" t="n"/>
      <c r="O116" s="16" t="n"/>
      <c r="P116" s="8" t="n"/>
      <c r="Q116" s="8" t="n"/>
      <c r="R116" s="8" t="n"/>
      <c r="S116" s="8" t="n"/>
      <c r="T116" s="8" t="n"/>
      <c r="U116" s="8" t="n"/>
      <c r="V116" s="8" t="n"/>
      <c r="W116" s="8" t="n"/>
      <c r="X116" s="8" t="n"/>
      <c r="Y116" s="8" t="n"/>
      <c r="Z116" s="8" t="n"/>
    </row>
    <row r="117" ht="13.5" customHeight="1" s="1">
      <c r="A117" s="8" t="n"/>
      <c r="B117" s="15" t="n"/>
      <c r="C117" s="8" t="n"/>
      <c r="D117" s="8" t="n"/>
      <c r="E117" s="16" t="n"/>
      <c r="F117" s="16" t="n"/>
      <c r="G117" s="16" t="n"/>
      <c r="H117" s="16" t="n"/>
      <c r="I117" s="16" t="n"/>
      <c r="J117" s="17" t="n"/>
      <c r="K117" s="16" t="n"/>
      <c r="L117" s="16" t="n"/>
      <c r="M117" s="16" t="n"/>
      <c r="N117" s="16" t="n"/>
      <c r="O117" s="16" t="n"/>
      <c r="P117" s="8" t="n"/>
      <c r="Q117" s="8" t="n"/>
      <c r="R117" s="8" t="n"/>
      <c r="S117" s="8" t="n"/>
      <c r="T117" s="8" t="n"/>
      <c r="U117" s="8" t="n"/>
      <c r="V117" s="8" t="n"/>
      <c r="W117" s="8" t="n"/>
      <c r="X117" s="8" t="n"/>
      <c r="Y117" s="8" t="n"/>
      <c r="Z117" s="8" t="n"/>
    </row>
    <row r="118" ht="13.5" customHeight="1" s="1">
      <c r="A118" s="8" t="n"/>
      <c r="B118" s="15" t="n"/>
      <c r="C118" s="8" t="n"/>
      <c r="D118" s="8" t="n"/>
      <c r="E118" s="16" t="n"/>
      <c r="F118" s="16" t="n"/>
      <c r="G118" s="16" t="n"/>
      <c r="H118" s="16" t="n"/>
      <c r="I118" s="16" t="n"/>
      <c r="J118" s="17" t="n"/>
      <c r="K118" s="16" t="n"/>
      <c r="L118" s="16" t="n"/>
      <c r="M118" s="16" t="n"/>
      <c r="N118" s="16" t="n"/>
      <c r="O118" s="16" t="n"/>
      <c r="P118" s="8" t="n"/>
      <c r="Q118" s="8" t="n"/>
      <c r="R118" s="8" t="n"/>
      <c r="S118" s="8" t="n"/>
      <c r="T118" s="8" t="n"/>
      <c r="U118" s="8" t="n"/>
      <c r="V118" s="8" t="n"/>
      <c r="W118" s="8" t="n"/>
      <c r="X118" s="8" t="n"/>
      <c r="Y118" s="8" t="n"/>
      <c r="Z118" s="8" t="n"/>
    </row>
    <row r="119" ht="13.5" customHeight="1" s="1">
      <c r="A119" s="8" t="n"/>
      <c r="B119" s="15" t="n"/>
      <c r="C119" s="8" t="n"/>
      <c r="D119" s="8" t="n"/>
      <c r="E119" s="16" t="n"/>
      <c r="F119" s="16" t="n"/>
      <c r="G119" s="16" t="n"/>
      <c r="H119" s="16" t="n"/>
      <c r="I119" s="16" t="n"/>
      <c r="J119" s="17" t="n"/>
      <c r="K119" s="16" t="n"/>
      <c r="L119" s="16" t="n"/>
      <c r="M119" s="16" t="n"/>
      <c r="N119" s="16" t="n"/>
      <c r="O119" s="16" t="n"/>
      <c r="P119" s="8" t="n"/>
      <c r="Q119" s="8" t="n"/>
      <c r="R119" s="8" t="n"/>
      <c r="S119" s="8" t="n"/>
      <c r="T119" s="8" t="n"/>
      <c r="U119" s="8" t="n"/>
      <c r="V119" s="8" t="n"/>
      <c r="W119" s="8" t="n"/>
      <c r="X119" s="8" t="n"/>
      <c r="Y119" s="8" t="n"/>
      <c r="Z119" s="8" t="n"/>
    </row>
    <row r="120" ht="13.5" customHeight="1" s="1">
      <c r="A120" s="8" t="n"/>
      <c r="B120" s="15" t="n"/>
      <c r="C120" s="8" t="n"/>
      <c r="D120" s="8" t="n"/>
      <c r="E120" s="16" t="n"/>
      <c r="F120" s="16" t="n"/>
      <c r="G120" s="16" t="n"/>
      <c r="H120" s="16" t="n"/>
      <c r="I120" s="16" t="n"/>
      <c r="J120" s="17" t="n"/>
      <c r="K120" s="16" t="n"/>
      <c r="L120" s="16" t="n"/>
      <c r="M120" s="16" t="n"/>
      <c r="N120" s="16" t="n"/>
      <c r="O120" s="16" t="n"/>
      <c r="P120" s="8" t="n"/>
      <c r="Q120" s="8" t="n"/>
      <c r="R120" s="8" t="n"/>
      <c r="S120" s="8" t="n"/>
      <c r="T120" s="8" t="n"/>
      <c r="U120" s="8" t="n"/>
      <c r="V120" s="8" t="n"/>
      <c r="W120" s="8" t="n"/>
      <c r="X120" s="8" t="n"/>
      <c r="Y120" s="8" t="n"/>
      <c r="Z120" s="8" t="n"/>
    </row>
    <row r="121" ht="13.5" customHeight="1" s="1">
      <c r="A121" s="8" t="n"/>
      <c r="B121" s="15" t="n"/>
      <c r="C121" s="8" t="n"/>
      <c r="D121" s="8" t="n"/>
      <c r="E121" s="16" t="n"/>
      <c r="F121" s="16" t="n"/>
      <c r="G121" s="16" t="n"/>
      <c r="H121" s="16" t="n"/>
      <c r="I121" s="16" t="n"/>
      <c r="J121" s="17" t="n"/>
      <c r="K121" s="16" t="n"/>
      <c r="L121" s="16" t="n"/>
      <c r="M121" s="16" t="n"/>
      <c r="N121" s="16" t="n"/>
      <c r="O121" s="16" t="n"/>
      <c r="P121" s="8" t="n"/>
      <c r="Q121" s="8" t="n"/>
      <c r="R121" s="8" t="n"/>
      <c r="S121" s="8" t="n"/>
      <c r="T121" s="8" t="n"/>
      <c r="U121" s="8" t="n"/>
      <c r="V121" s="8" t="n"/>
      <c r="W121" s="8" t="n"/>
      <c r="X121" s="8" t="n"/>
      <c r="Y121" s="8" t="n"/>
      <c r="Z121" s="8" t="n"/>
    </row>
    <row r="122" ht="13.5" customHeight="1" s="1">
      <c r="A122" s="8" t="n"/>
      <c r="B122" s="15" t="n"/>
      <c r="C122" s="8" t="n"/>
      <c r="D122" s="8" t="n"/>
      <c r="E122" s="16" t="n"/>
      <c r="F122" s="16" t="n"/>
      <c r="G122" s="16" t="n"/>
      <c r="H122" s="16" t="n"/>
      <c r="I122" s="16" t="n"/>
      <c r="J122" s="17" t="n"/>
      <c r="K122" s="16" t="n"/>
      <c r="L122" s="16" t="n"/>
      <c r="M122" s="16" t="n"/>
      <c r="N122" s="16" t="n"/>
      <c r="O122" s="16" t="n"/>
      <c r="P122" s="8" t="n"/>
      <c r="Q122" s="8" t="n"/>
      <c r="R122" s="8" t="n"/>
      <c r="S122" s="8" t="n"/>
      <c r="T122" s="8" t="n"/>
      <c r="U122" s="8" t="n"/>
      <c r="V122" s="8" t="n"/>
      <c r="W122" s="8" t="n"/>
      <c r="X122" s="8" t="n"/>
      <c r="Y122" s="8" t="n"/>
      <c r="Z122" s="8" t="n"/>
    </row>
    <row r="123" ht="13.5" customHeight="1" s="1">
      <c r="A123" s="8" t="n"/>
      <c r="B123" s="15" t="n"/>
      <c r="C123" s="8" t="n"/>
      <c r="D123" s="8" t="n"/>
      <c r="E123" s="16" t="n"/>
      <c r="F123" s="16" t="n"/>
      <c r="G123" s="16" t="n"/>
      <c r="H123" s="16" t="n"/>
      <c r="I123" s="16" t="n"/>
      <c r="J123" s="17" t="n"/>
      <c r="K123" s="16" t="n"/>
      <c r="L123" s="16" t="n"/>
      <c r="M123" s="16" t="n"/>
      <c r="N123" s="16" t="n"/>
      <c r="O123" s="16" t="n"/>
      <c r="P123" s="8" t="n"/>
      <c r="Q123" s="8" t="n"/>
      <c r="R123" s="8" t="n"/>
      <c r="S123" s="8" t="n"/>
      <c r="T123" s="8" t="n"/>
      <c r="U123" s="8" t="n"/>
      <c r="V123" s="8" t="n"/>
      <c r="W123" s="8" t="n"/>
      <c r="X123" s="8" t="n"/>
      <c r="Y123" s="8" t="n"/>
      <c r="Z123" s="8" t="n"/>
    </row>
    <row r="124" ht="13.5" customHeight="1" s="1">
      <c r="A124" s="8" t="n"/>
      <c r="B124" s="15" t="n"/>
      <c r="C124" s="8" t="n"/>
      <c r="D124" s="8" t="n"/>
      <c r="E124" s="16" t="n"/>
      <c r="F124" s="16" t="n"/>
      <c r="G124" s="16" t="n"/>
      <c r="H124" s="16" t="n"/>
      <c r="I124" s="16" t="n"/>
      <c r="J124" s="17" t="n"/>
      <c r="K124" s="16" t="n"/>
      <c r="L124" s="16" t="n"/>
      <c r="M124" s="16" t="n"/>
      <c r="N124" s="16" t="n"/>
      <c r="O124" s="16" t="n"/>
      <c r="P124" s="8" t="n"/>
      <c r="Q124" s="8" t="n"/>
      <c r="R124" s="8" t="n"/>
      <c r="S124" s="8" t="n"/>
      <c r="T124" s="8" t="n"/>
      <c r="U124" s="8" t="n"/>
      <c r="V124" s="8" t="n"/>
      <c r="W124" s="8" t="n"/>
      <c r="X124" s="8" t="n"/>
      <c r="Y124" s="8" t="n"/>
      <c r="Z124" s="8" t="n"/>
    </row>
    <row r="125" ht="13.5" customHeight="1" s="1">
      <c r="A125" s="8" t="n"/>
      <c r="B125" s="15" t="n"/>
      <c r="C125" s="8" t="n"/>
      <c r="D125" s="8" t="n"/>
      <c r="E125" s="16" t="n"/>
      <c r="F125" s="16" t="n"/>
      <c r="G125" s="16" t="n"/>
      <c r="H125" s="16" t="n"/>
      <c r="I125" s="16" t="n"/>
      <c r="J125" s="17" t="n"/>
      <c r="K125" s="16" t="n"/>
      <c r="L125" s="16" t="n"/>
      <c r="M125" s="16" t="n"/>
      <c r="N125" s="16" t="n"/>
      <c r="O125" s="16" t="n"/>
      <c r="P125" s="8" t="n"/>
      <c r="Q125" s="8" t="n"/>
      <c r="R125" s="8" t="n"/>
      <c r="S125" s="8" t="n"/>
      <c r="T125" s="8" t="n"/>
      <c r="U125" s="8" t="n"/>
      <c r="V125" s="8" t="n"/>
      <c r="W125" s="8" t="n"/>
      <c r="X125" s="8" t="n"/>
      <c r="Y125" s="8" t="n"/>
      <c r="Z125" s="8" t="n"/>
    </row>
    <row r="126" ht="13.5" customHeight="1" s="1">
      <c r="A126" s="8" t="n"/>
      <c r="B126" s="15" t="n"/>
      <c r="C126" s="8" t="n"/>
      <c r="D126" s="8" t="n"/>
      <c r="E126" s="16" t="n"/>
      <c r="F126" s="16" t="n"/>
      <c r="G126" s="16" t="n"/>
      <c r="H126" s="16" t="n"/>
      <c r="I126" s="16" t="n"/>
      <c r="J126" s="17" t="n"/>
      <c r="K126" s="16" t="n"/>
      <c r="L126" s="16" t="n"/>
      <c r="M126" s="16" t="n"/>
      <c r="N126" s="16" t="n"/>
      <c r="O126" s="16" t="n"/>
      <c r="P126" s="8" t="n"/>
      <c r="Q126" s="8" t="n"/>
      <c r="R126" s="8" t="n"/>
      <c r="S126" s="8" t="n"/>
      <c r="T126" s="8" t="n"/>
      <c r="U126" s="8" t="n"/>
      <c r="V126" s="8" t="n"/>
      <c r="W126" s="8" t="n"/>
      <c r="X126" s="8" t="n"/>
      <c r="Y126" s="8" t="n"/>
      <c r="Z126" s="8" t="n"/>
    </row>
    <row r="127" ht="13.5" customHeight="1" s="1">
      <c r="A127" s="8" t="n"/>
      <c r="B127" s="15" t="n"/>
      <c r="C127" s="8" t="n"/>
      <c r="D127" s="8" t="n"/>
      <c r="E127" s="16" t="n"/>
      <c r="F127" s="16" t="n"/>
      <c r="G127" s="16" t="n"/>
      <c r="H127" s="16" t="n"/>
      <c r="I127" s="16" t="n"/>
      <c r="J127" s="17" t="n"/>
      <c r="K127" s="16" t="n"/>
      <c r="L127" s="16" t="n"/>
      <c r="M127" s="16" t="n"/>
      <c r="N127" s="16" t="n"/>
      <c r="O127" s="16" t="n"/>
      <c r="P127" s="8" t="n"/>
      <c r="Q127" s="8" t="n"/>
      <c r="R127" s="8" t="n"/>
      <c r="S127" s="8" t="n"/>
      <c r="T127" s="8" t="n"/>
      <c r="U127" s="8" t="n"/>
      <c r="V127" s="8" t="n"/>
      <c r="W127" s="8" t="n"/>
      <c r="X127" s="8" t="n"/>
      <c r="Y127" s="8" t="n"/>
      <c r="Z127" s="8" t="n"/>
    </row>
    <row r="128" ht="13.5" customHeight="1" s="1">
      <c r="A128" s="8" t="n"/>
      <c r="B128" s="15" t="n"/>
      <c r="C128" s="8" t="n"/>
      <c r="D128" s="8" t="n"/>
      <c r="E128" s="16" t="n"/>
      <c r="F128" s="16" t="n"/>
      <c r="G128" s="16" t="n"/>
      <c r="H128" s="16" t="n"/>
      <c r="I128" s="16" t="n"/>
      <c r="J128" s="17" t="n"/>
      <c r="K128" s="16" t="n"/>
      <c r="L128" s="16" t="n"/>
      <c r="M128" s="16" t="n"/>
      <c r="N128" s="16" t="n"/>
      <c r="O128" s="16" t="n"/>
      <c r="P128" s="8" t="n"/>
      <c r="Q128" s="8" t="n"/>
      <c r="R128" s="8" t="n"/>
      <c r="S128" s="8" t="n"/>
      <c r="T128" s="8" t="n"/>
      <c r="U128" s="8" t="n"/>
      <c r="V128" s="8" t="n"/>
      <c r="W128" s="8" t="n"/>
      <c r="X128" s="8" t="n"/>
      <c r="Y128" s="8" t="n"/>
      <c r="Z128" s="8" t="n"/>
    </row>
    <row r="129" ht="13.5" customHeight="1" s="1">
      <c r="A129" s="8" t="n"/>
      <c r="B129" s="15" t="n"/>
      <c r="C129" s="8" t="n"/>
      <c r="D129" s="8" t="n"/>
      <c r="E129" s="16" t="n"/>
      <c r="F129" s="16" t="n"/>
      <c r="G129" s="16" t="n"/>
      <c r="H129" s="16" t="n"/>
      <c r="I129" s="16" t="n"/>
      <c r="J129" s="17" t="n"/>
      <c r="K129" s="16" t="n"/>
      <c r="L129" s="16" t="n"/>
      <c r="M129" s="16" t="n"/>
      <c r="N129" s="16" t="n"/>
      <c r="O129" s="16" t="n"/>
      <c r="P129" s="8" t="n"/>
      <c r="Q129" s="8" t="n"/>
      <c r="R129" s="8" t="n"/>
      <c r="S129" s="8" t="n"/>
      <c r="T129" s="8" t="n"/>
      <c r="U129" s="8" t="n"/>
      <c r="V129" s="8" t="n"/>
      <c r="W129" s="8" t="n"/>
      <c r="X129" s="8" t="n"/>
      <c r="Y129" s="8" t="n"/>
      <c r="Z129" s="8" t="n"/>
    </row>
    <row r="130" ht="13.5" customHeight="1" s="1">
      <c r="A130" s="8" t="n"/>
      <c r="B130" s="15" t="n"/>
      <c r="C130" s="8" t="n"/>
      <c r="D130" s="8" t="n"/>
      <c r="E130" s="16" t="n"/>
      <c r="F130" s="16" t="n"/>
      <c r="G130" s="16" t="n"/>
      <c r="H130" s="16" t="n"/>
      <c r="I130" s="16" t="n"/>
      <c r="J130" s="17" t="n"/>
      <c r="K130" s="16" t="n"/>
      <c r="L130" s="16" t="n"/>
      <c r="M130" s="16" t="n"/>
      <c r="N130" s="16" t="n"/>
      <c r="O130" s="16" t="n"/>
      <c r="P130" s="8" t="n"/>
      <c r="Q130" s="8" t="n"/>
      <c r="R130" s="8" t="n"/>
      <c r="S130" s="8" t="n"/>
      <c r="T130" s="8" t="n"/>
      <c r="U130" s="8" t="n"/>
      <c r="V130" s="8" t="n"/>
      <c r="W130" s="8" t="n"/>
      <c r="X130" s="8" t="n"/>
      <c r="Y130" s="8" t="n"/>
      <c r="Z130" s="8" t="n"/>
    </row>
    <row r="131" ht="13.5" customHeight="1" s="1">
      <c r="A131" s="8" t="n"/>
      <c r="B131" s="15" t="n"/>
      <c r="C131" s="8" t="n"/>
      <c r="D131" s="8" t="n"/>
      <c r="E131" s="16" t="n"/>
      <c r="F131" s="16" t="n"/>
      <c r="G131" s="16" t="n"/>
      <c r="H131" s="16" t="n"/>
      <c r="I131" s="16" t="n"/>
      <c r="J131" s="17" t="n"/>
      <c r="K131" s="16" t="n"/>
      <c r="L131" s="16" t="n"/>
      <c r="M131" s="16" t="n"/>
      <c r="N131" s="16" t="n"/>
      <c r="O131" s="16" t="n"/>
      <c r="P131" s="8" t="n"/>
      <c r="Q131" s="8" t="n"/>
      <c r="R131" s="8" t="n"/>
      <c r="S131" s="8" t="n"/>
      <c r="T131" s="8" t="n"/>
      <c r="U131" s="8" t="n"/>
      <c r="V131" s="8" t="n"/>
      <c r="W131" s="8" t="n"/>
      <c r="X131" s="8" t="n"/>
      <c r="Y131" s="8" t="n"/>
      <c r="Z131" s="8" t="n"/>
    </row>
    <row r="132" ht="13.5" customHeight="1" s="1">
      <c r="A132" s="8" t="n"/>
      <c r="B132" s="15" t="n"/>
      <c r="C132" s="8" t="n"/>
      <c r="D132" s="8" t="n"/>
      <c r="E132" s="16" t="n"/>
      <c r="F132" s="16" t="n"/>
      <c r="G132" s="16" t="n"/>
      <c r="H132" s="16" t="n"/>
      <c r="I132" s="16" t="n"/>
      <c r="J132" s="17" t="n"/>
      <c r="K132" s="16" t="n"/>
      <c r="L132" s="16" t="n"/>
      <c r="M132" s="16" t="n"/>
      <c r="N132" s="16" t="n"/>
      <c r="O132" s="16" t="n"/>
      <c r="P132" s="8" t="n"/>
      <c r="Q132" s="8" t="n"/>
      <c r="R132" s="8" t="n"/>
      <c r="S132" s="8" t="n"/>
      <c r="T132" s="8" t="n"/>
      <c r="U132" s="8" t="n"/>
      <c r="V132" s="8" t="n"/>
      <c r="W132" s="8" t="n"/>
      <c r="X132" s="8" t="n"/>
      <c r="Y132" s="8" t="n"/>
      <c r="Z132" s="8" t="n"/>
    </row>
    <row r="133" ht="13.5" customHeight="1" s="1">
      <c r="A133" s="8" t="n"/>
      <c r="B133" s="15" t="n"/>
      <c r="C133" s="8" t="n"/>
      <c r="D133" s="8" t="n"/>
      <c r="E133" s="16" t="n"/>
      <c r="F133" s="16" t="n"/>
      <c r="G133" s="16" t="n"/>
      <c r="H133" s="16" t="n"/>
      <c r="I133" s="16" t="n"/>
      <c r="J133" s="17" t="n"/>
      <c r="K133" s="16" t="n"/>
      <c r="L133" s="16" t="n"/>
      <c r="M133" s="16" t="n"/>
      <c r="N133" s="16" t="n"/>
      <c r="O133" s="16" t="n"/>
      <c r="P133" s="8" t="n"/>
      <c r="Q133" s="8" t="n"/>
      <c r="R133" s="8" t="n"/>
      <c r="S133" s="8" t="n"/>
      <c r="T133" s="8" t="n"/>
      <c r="U133" s="8" t="n"/>
      <c r="V133" s="8" t="n"/>
      <c r="W133" s="8" t="n"/>
      <c r="X133" s="8" t="n"/>
      <c r="Y133" s="8" t="n"/>
      <c r="Z133" s="8" t="n"/>
    </row>
    <row r="134" ht="13.5" customHeight="1" s="1">
      <c r="A134" s="8" t="n"/>
      <c r="B134" s="15" t="n"/>
      <c r="C134" s="8" t="n"/>
      <c r="D134" s="8" t="n"/>
      <c r="E134" s="16" t="n"/>
      <c r="F134" s="16" t="n"/>
      <c r="G134" s="16" t="n"/>
      <c r="H134" s="16" t="n"/>
      <c r="I134" s="16" t="n"/>
      <c r="J134" s="17" t="n"/>
      <c r="K134" s="16" t="n"/>
      <c r="L134" s="16" t="n"/>
      <c r="M134" s="16" t="n"/>
      <c r="N134" s="16" t="n"/>
      <c r="O134" s="16" t="n"/>
      <c r="P134" s="8" t="n"/>
      <c r="Q134" s="8" t="n"/>
      <c r="R134" s="8" t="n"/>
      <c r="S134" s="8" t="n"/>
      <c r="T134" s="8" t="n"/>
      <c r="U134" s="8" t="n"/>
      <c r="V134" s="8" t="n"/>
      <c r="W134" s="8" t="n"/>
      <c r="X134" s="8" t="n"/>
      <c r="Y134" s="8" t="n"/>
      <c r="Z134" s="8" t="n"/>
    </row>
    <row r="135" ht="13.5" customHeight="1" s="1">
      <c r="A135" s="8" t="n"/>
      <c r="B135" s="15" t="n"/>
      <c r="C135" s="8" t="n"/>
      <c r="D135" s="8" t="n"/>
      <c r="E135" s="16" t="n"/>
      <c r="F135" s="16" t="n"/>
      <c r="G135" s="16" t="n"/>
      <c r="H135" s="16" t="n"/>
      <c r="I135" s="16" t="n"/>
      <c r="J135" s="17" t="n"/>
      <c r="K135" s="16" t="n"/>
      <c r="L135" s="16" t="n"/>
      <c r="M135" s="16" t="n"/>
      <c r="N135" s="16" t="n"/>
      <c r="O135" s="16" t="n"/>
      <c r="P135" s="8" t="n"/>
      <c r="Q135" s="8" t="n"/>
      <c r="R135" s="8" t="n"/>
      <c r="S135" s="8" t="n"/>
      <c r="T135" s="8" t="n"/>
      <c r="U135" s="8" t="n"/>
      <c r="V135" s="8" t="n"/>
      <c r="W135" s="8" t="n"/>
      <c r="X135" s="8" t="n"/>
      <c r="Y135" s="8" t="n"/>
      <c r="Z135" s="8" t="n"/>
    </row>
    <row r="136" ht="13.5" customHeight="1" s="1">
      <c r="A136" s="8" t="n"/>
      <c r="B136" s="15" t="n"/>
      <c r="C136" s="8" t="n"/>
      <c r="D136" s="8" t="n"/>
      <c r="E136" s="16" t="n"/>
      <c r="F136" s="16" t="n"/>
      <c r="G136" s="16" t="n"/>
      <c r="H136" s="16" t="n"/>
      <c r="I136" s="16" t="n"/>
      <c r="J136" s="17" t="n"/>
      <c r="K136" s="16" t="n"/>
      <c r="L136" s="16" t="n"/>
      <c r="M136" s="16" t="n"/>
      <c r="N136" s="16" t="n"/>
      <c r="O136" s="16" t="n"/>
      <c r="P136" s="8" t="n"/>
      <c r="Q136" s="8" t="n"/>
      <c r="R136" s="8" t="n"/>
      <c r="S136" s="8" t="n"/>
      <c r="T136" s="8" t="n"/>
      <c r="U136" s="8" t="n"/>
      <c r="V136" s="8" t="n"/>
      <c r="W136" s="8" t="n"/>
      <c r="X136" s="8" t="n"/>
      <c r="Y136" s="8" t="n"/>
      <c r="Z136" s="8" t="n"/>
    </row>
    <row r="137" ht="13.5" customHeight="1" s="1">
      <c r="A137" s="8" t="n"/>
      <c r="B137" s="15" t="n"/>
      <c r="C137" s="8" t="n"/>
      <c r="D137" s="8" t="n"/>
      <c r="E137" s="16" t="n"/>
      <c r="F137" s="16" t="n"/>
      <c r="G137" s="16" t="n"/>
      <c r="H137" s="16" t="n"/>
      <c r="I137" s="16" t="n"/>
      <c r="J137" s="17" t="n"/>
      <c r="K137" s="16" t="n"/>
      <c r="L137" s="16" t="n"/>
      <c r="M137" s="16" t="n"/>
      <c r="N137" s="16" t="n"/>
      <c r="O137" s="16" t="n"/>
      <c r="P137" s="8" t="n"/>
      <c r="Q137" s="8" t="n"/>
      <c r="R137" s="8" t="n"/>
      <c r="S137" s="8" t="n"/>
      <c r="T137" s="8" t="n"/>
      <c r="U137" s="8" t="n"/>
      <c r="V137" s="8" t="n"/>
      <c r="W137" s="8" t="n"/>
      <c r="X137" s="8" t="n"/>
      <c r="Y137" s="8" t="n"/>
      <c r="Z137" s="8" t="n"/>
    </row>
    <row r="138" ht="13.5" customHeight="1" s="1">
      <c r="A138" s="8" t="n"/>
      <c r="B138" s="15" t="n"/>
      <c r="C138" s="8" t="n"/>
      <c r="D138" s="8" t="n"/>
      <c r="E138" s="16" t="n"/>
      <c r="F138" s="16" t="n"/>
      <c r="G138" s="16" t="n"/>
      <c r="H138" s="16" t="n"/>
      <c r="I138" s="16" t="n"/>
      <c r="J138" s="17" t="n"/>
      <c r="K138" s="16" t="n"/>
      <c r="L138" s="16" t="n"/>
      <c r="M138" s="16" t="n"/>
      <c r="N138" s="16" t="n"/>
      <c r="O138" s="16" t="n"/>
      <c r="P138" s="8" t="n"/>
      <c r="Q138" s="8" t="n"/>
      <c r="R138" s="8" t="n"/>
      <c r="S138" s="8" t="n"/>
      <c r="T138" s="8" t="n"/>
      <c r="U138" s="8" t="n"/>
      <c r="V138" s="8" t="n"/>
      <c r="W138" s="8" t="n"/>
      <c r="X138" s="8" t="n"/>
      <c r="Y138" s="8" t="n"/>
      <c r="Z138" s="8" t="n"/>
    </row>
    <row r="139" ht="13.5" customHeight="1" s="1">
      <c r="A139" s="8" t="n"/>
      <c r="B139" s="15" t="n"/>
      <c r="C139" s="8" t="n"/>
      <c r="D139" s="8" t="n"/>
      <c r="E139" s="16" t="n"/>
      <c r="F139" s="16" t="n"/>
      <c r="G139" s="16" t="n"/>
      <c r="H139" s="16" t="n"/>
      <c r="I139" s="16" t="n"/>
      <c r="J139" s="17" t="n"/>
      <c r="K139" s="16" t="n"/>
      <c r="L139" s="16" t="n"/>
      <c r="M139" s="16" t="n"/>
      <c r="N139" s="16" t="n"/>
      <c r="O139" s="16" t="n"/>
      <c r="P139" s="8" t="n"/>
      <c r="Q139" s="8" t="n"/>
      <c r="R139" s="8" t="n"/>
      <c r="S139" s="8" t="n"/>
      <c r="T139" s="8" t="n"/>
      <c r="U139" s="8" t="n"/>
      <c r="V139" s="8" t="n"/>
      <c r="W139" s="8" t="n"/>
      <c r="X139" s="8" t="n"/>
      <c r="Y139" s="8" t="n"/>
      <c r="Z139" s="8" t="n"/>
    </row>
    <row r="140" ht="13.5" customHeight="1" s="1">
      <c r="A140" s="8" t="n"/>
      <c r="B140" s="15" t="n"/>
      <c r="C140" s="8" t="n"/>
      <c r="D140" s="8" t="n"/>
      <c r="E140" s="16" t="n"/>
      <c r="F140" s="16" t="n"/>
      <c r="G140" s="16" t="n"/>
      <c r="H140" s="16" t="n"/>
      <c r="I140" s="16" t="n"/>
      <c r="J140" s="17" t="n"/>
      <c r="K140" s="16" t="n"/>
      <c r="L140" s="16" t="n"/>
      <c r="M140" s="16" t="n"/>
      <c r="N140" s="16" t="n"/>
      <c r="O140" s="16" t="n"/>
      <c r="P140" s="8" t="n"/>
      <c r="Q140" s="8" t="n"/>
      <c r="R140" s="8" t="n"/>
      <c r="S140" s="8" t="n"/>
      <c r="T140" s="8" t="n"/>
      <c r="U140" s="8" t="n"/>
      <c r="V140" s="8" t="n"/>
      <c r="W140" s="8" t="n"/>
      <c r="X140" s="8" t="n"/>
      <c r="Y140" s="8" t="n"/>
      <c r="Z140" s="8" t="n"/>
    </row>
    <row r="141" ht="13.5" customHeight="1" s="1">
      <c r="A141" s="8" t="n"/>
      <c r="B141" s="15" t="n"/>
      <c r="C141" s="8" t="n"/>
      <c r="D141" s="8" t="n"/>
      <c r="E141" s="16" t="n"/>
      <c r="F141" s="16" t="n"/>
      <c r="G141" s="16" t="n"/>
      <c r="H141" s="16" t="n"/>
      <c r="I141" s="16" t="n"/>
      <c r="J141" s="17" t="n"/>
      <c r="K141" s="16" t="n"/>
      <c r="L141" s="16" t="n"/>
      <c r="M141" s="16" t="n"/>
      <c r="N141" s="16" t="n"/>
      <c r="O141" s="16" t="n"/>
      <c r="P141" s="8" t="n"/>
      <c r="Q141" s="8" t="n"/>
      <c r="R141" s="8" t="n"/>
      <c r="S141" s="8" t="n"/>
      <c r="T141" s="8" t="n"/>
      <c r="U141" s="8" t="n"/>
      <c r="V141" s="8" t="n"/>
      <c r="W141" s="8" t="n"/>
      <c r="X141" s="8" t="n"/>
      <c r="Y141" s="8" t="n"/>
      <c r="Z141" s="8" t="n"/>
    </row>
    <row r="142" ht="13.5" customHeight="1" s="1">
      <c r="A142" s="8" t="n"/>
      <c r="B142" s="15" t="n"/>
      <c r="C142" s="8" t="n"/>
      <c r="D142" s="8" t="n"/>
      <c r="E142" s="16" t="n"/>
      <c r="F142" s="16" t="n"/>
      <c r="G142" s="16" t="n"/>
      <c r="H142" s="16" t="n"/>
      <c r="I142" s="16" t="n"/>
      <c r="J142" s="17" t="n"/>
      <c r="K142" s="16" t="n"/>
      <c r="L142" s="16" t="n"/>
      <c r="M142" s="16" t="n"/>
      <c r="N142" s="16" t="n"/>
      <c r="O142" s="16" t="n"/>
      <c r="P142" s="8" t="n"/>
      <c r="Q142" s="8" t="n"/>
      <c r="R142" s="8" t="n"/>
      <c r="S142" s="8" t="n"/>
      <c r="T142" s="8" t="n"/>
      <c r="U142" s="8" t="n"/>
      <c r="V142" s="8" t="n"/>
      <c r="W142" s="8" t="n"/>
      <c r="X142" s="8" t="n"/>
      <c r="Y142" s="8" t="n"/>
      <c r="Z142" s="8" t="n"/>
    </row>
    <row r="143" ht="13.5" customHeight="1" s="1">
      <c r="A143" s="8" t="n"/>
      <c r="B143" s="15" t="n"/>
      <c r="C143" s="8" t="n"/>
      <c r="D143" s="8" t="n"/>
      <c r="E143" s="16" t="n"/>
      <c r="F143" s="16" t="n"/>
      <c r="G143" s="16" t="n"/>
      <c r="H143" s="16" t="n"/>
      <c r="I143" s="16" t="n"/>
      <c r="J143" s="17" t="n"/>
      <c r="K143" s="16" t="n"/>
      <c r="L143" s="16" t="n"/>
      <c r="M143" s="16" t="n"/>
      <c r="N143" s="16" t="n"/>
      <c r="O143" s="16" t="n"/>
      <c r="P143" s="8" t="n"/>
      <c r="Q143" s="8" t="n"/>
      <c r="R143" s="8" t="n"/>
      <c r="S143" s="8" t="n"/>
      <c r="T143" s="8" t="n"/>
      <c r="U143" s="8" t="n"/>
      <c r="V143" s="8" t="n"/>
      <c r="W143" s="8" t="n"/>
      <c r="X143" s="8" t="n"/>
      <c r="Y143" s="8" t="n"/>
      <c r="Z143" s="8" t="n"/>
    </row>
    <row r="144" ht="13.5" customHeight="1" s="1">
      <c r="A144" s="8" t="n"/>
      <c r="B144" s="15" t="n"/>
      <c r="C144" s="8" t="n"/>
      <c r="D144" s="8" t="n"/>
      <c r="E144" s="16" t="n"/>
      <c r="F144" s="16" t="n"/>
      <c r="G144" s="16" t="n"/>
      <c r="H144" s="16" t="n"/>
      <c r="I144" s="16" t="n"/>
      <c r="J144" s="17" t="n"/>
      <c r="K144" s="16" t="n"/>
      <c r="L144" s="16" t="n"/>
      <c r="M144" s="16" t="n"/>
      <c r="N144" s="16" t="n"/>
      <c r="O144" s="16" t="n"/>
      <c r="P144" s="8" t="n"/>
      <c r="Q144" s="8" t="n"/>
      <c r="R144" s="8" t="n"/>
      <c r="S144" s="8" t="n"/>
      <c r="T144" s="8" t="n"/>
      <c r="U144" s="8" t="n"/>
      <c r="V144" s="8" t="n"/>
      <c r="W144" s="8" t="n"/>
      <c r="X144" s="8" t="n"/>
      <c r="Y144" s="8" t="n"/>
      <c r="Z144" s="8" t="n"/>
    </row>
    <row r="145" ht="13.5" customHeight="1" s="1">
      <c r="A145" s="8" t="n"/>
      <c r="B145" s="15" t="n"/>
      <c r="C145" s="8" t="n"/>
      <c r="D145" s="8" t="n"/>
      <c r="E145" s="16" t="n"/>
      <c r="F145" s="16" t="n"/>
      <c r="G145" s="16" t="n"/>
      <c r="H145" s="16" t="n"/>
      <c r="I145" s="16" t="n"/>
      <c r="J145" s="17" t="n"/>
      <c r="K145" s="16" t="n"/>
      <c r="L145" s="16" t="n"/>
      <c r="M145" s="16" t="n"/>
      <c r="N145" s="16" t="n"/>
      <c r="O145" s="16" t="n"/>
      <c r="P145" s="8" t="n"/>
      <c r="Q145" s="8" t="n"/>
      <c r="R145" s="8" t="n"/>
      <c r="S145" s="8" t="n"/>
      <c r="T145" s="8" t="n"/>
      <c r="U145" s="8" t="n"/>
      <c r="V145" s="8" t="n"/>
      <c r="W145" s="8" t="n"/>
      <c r="X145" s="8" t="n"/>
      <c r="Y145" s="8" t="n"/>
      <c r="Z145" s="8" t="n"/>
    </row>
    <row r="146" ht="13.5" customHeight="1" s="1">
      <c r="A146" s="8" t="n"/>
      <c r="B146" s="15" t="n"/>
      <c r="C146" s="8" t="n"/>
      <c r="D146" s="8" t="n"/>
      <c r="E146" s="16" t="n"/>
      <c r="F146" s="16" t="n"/>
      <c r="G146" s="16" t="n"/>
      <c r="H146" s="16" t="n"/>
      <c r="I146" s="16" t="n"/>
      <c r="J146" s="17" t="n"/>
      <c r="K146" s="16" t="n"/>
      <c r="L146" s="16" t="n"/>
      <c r="M146" s="16" t="n"/>
      <c r="N146" s="16" t="n"/>
      <c r="O146" s="16" t="n"/>
      <c r="P146" s="8" t="n"/>
      <c r="Q146" s="8" t="n"/>
      <c r="R146" s="8" t="n"/>
      <c r="S146" s="8" t="n"/>
      <c r="T146" s="8" t="n"/>
      <c r="U146" s="8" t="n"/>
      <c r="V146" s="8" t="n"/>
      <c r="W146" s="8" t="n"/>
      <c r="X146" s="8" t="n"/>
      <c r="Y146" s="8" t="n"/>
      <c r="Z146" s="8" t="n"/>
    </row>
    <row r="147" ht="13.5" customHeight="1" s="1">
      <c r="A147" s="8" t="n"/>
      <c r="B147" s="15" t="n"/>
      <c r="C147" s="8" t="n"/>
      <c r="D147" s="8" t="n"/>
      <c r="E147" s="16" t="n"/>
      <c r="F147" s="16" t="n"/>
      <c r="G147" s="16" t="n"/>
      <c r="H147" s="16" t="n"/>
      <c r="I147" s="16" t="n"/>
      <c r="J147" s="17" t="n"/>
      <c r="K147" s="16" t="n"/>
      <c r="L147" s="16" t="n"/>
      <c r="M147" s="16" t="n"/>
      <c r="N147" s="16" t="n"/>
      <c r="O147" s="16" t="n"/>
      <c r="P147" s="8" t="n"/>
      <c r="Q147" s="8" t="n"/>
      <c r="R147" s="8" t="n"/>
      <c r="S147" s="8" t="n"/>
      <c r="T147" s="8" t="n"/>
      <c r="U147" s="8" t="n"/>
      <c r="V147" s="8" t="n"/>
      <c r="W147" s="8" t="n"/>
      <c r="X147" s="8" t="n"/>
      <c r="Y147" s="8" t="n"/>
      <c r="Z147" s="8" t="n"/>
    </row>
    <row r="148" ht="13.5" customHeight="1" s="1">
      <c r="A148" s="8" t="n"/>
      <c r="B148" s="15" t="n"/>
      <c r="C148" s="8" t="n"/>
      <c r="D148" s="8" t="n"/>
      <c r="E148" s="16" t="n"/>
      <c r="F148" s="16" t="n"/>
      <c r="G148" s="16" t="n"/>
      <c r="H148" s="16" t="n"/>
      <c r="I148" s="16" t="n"/>
      <c r="J148" s="17" t="n"/>
      <c r="K148" s="16" t="n"/>
      <c r="L148" s="16" t="n"/>
      <c r="M148" s="16" t="n"/>
      <c r="N148" s="16" t="n"/>
      <c r="O148" s="16" t="n"/>
      <c r="P148" s="8" t="n"/>
      <c r="Q148" s="8" t="n"/>
      <c r="R148" s="8" t="n"/>
      <c r="S148" s="8" t="n"/>
      <c r="T148" s="8" t="n"/>
      <c r="U148" s="8" t="n"/>
      <c r="V148" s="8" t="n"/>
      <c r="W148" s="8" t="n"/>
      <c r="X148" s="8" t="n"/>
      <c r="Y148" s="8" t="n"/>
      <c r="Z148" s="8" t="n"/>
    </row>
    <row r="149" ht="13.5" customHeight="1" s="1">
      <c r="A149" s="8" t="n"/>
      <c r="B149" s="15" t="n"/>
      <c r="C149" s="8" t="n"/>
      <c r="D149" s="8" t="n"/>
      <c r="E149" s="16" t="n"/>
      <c r="F149" s="16" t="n"/>
      <c r="G149" s="16" t="n"/>
      <c r="H149" s="16" t="n"/>
      <c r="I149" s="16" t="n"/>
      <c r="J149" s="17" t="n"/>
      <c r="K149" s="16" t="n"/>
      <c r="L149" s="16" t="n"/>
      <c r="M149" s="16" t="n"/>
      <c r="N149" s="16" t="n"/>
      <c r="O149" s="16" t="n"/>
      <c r="P149" s="8" t="n"/>
      <c r="Q149" s="8" t="n"/>
      <c r="R149" s="8" t="n"/>
      <c r="S149" s="8" t="n"/>
      <c r="T149" s="8" t="n"/>
      <c r="U149" s="8" t="n"/>
      <c r="V149" s="8" t="n"/>
      <c r="W149" s="8" t="n"/>
      <c r="X149" s="8" t="n"/>
      <c r="Y149" s="8" t="n"/>
      <c r="Z149" s="8" t="n"/>
    </row>
    <row r="150" ht="13.5" customHeight="1" s="1">
      <c r="A150" s="8" t="n"/>
      <c r="B150" s="15" t="n"/>
      <c r="C150" s="8" t="n"/>
      <c r="D150" s="8" t="n"/>
      <c r="E150" s="16" t="n"/>
      <c r="F150" s="16" t="n"/>
      <c r="G150" s="16" t="n"/>
      <c r="H150" s="16" t="n"/>
      <c r="I150" s="16" t="n"/>
      <c r="J150" s="17" t="n"/>
      <c r="K150" s="16" t="n"/>
      <c r="L150" s="16" t="n"/>
      <c r="M150" s="16" t="n"/>
      <c r="N150" s="16" t="n"/>
      <c r="O150" s="16" t="n"/>
      <c r="P150" s="8" t="n"/>
      <c r="Q150" s="8" t="n"/>
      <c r="R150" s="8" t="n"/>
      <c r="S150" s="8" t="n"/>
      <c r="T150" s="8" t="n"/>
      <c r="U150" s="8" t="n"/>
      <c r="V150" s="8" t="n"/>
      <c r="W150" s="8" t="n"/>
      <c r="X150" s="8" t="n"/>
      <c r="Y150" s="8" t="n"/>
      <c r="Z150" s="8" t="n"/>
    </row>
    <row r="151" ht="13.5" customHeight="1" s="1">
      <c r="A151" s="8" t="n"/>
      <c r="B151" s="15" t="n"/>
      <c r="C151" s="8" t="n"/>
      <c r="D151" s="8" t="n"/>
      <c r="E151" s="16" t="n"/>
      <c r="F151" s="16" t="n"/>
      <c r="G151" s="16" t="n"/>
      <c r="H151" s="16" t="n"/>
      <c r="I151" s="16" t="n"/>
      <c r="J151" s="17" t="n"/>
      <c r="K151" s="16" t="n"/>
      <c r="L151" s="16" t="n"/>
      <c r="M151" s="16" t="n"/>
      <c r="N151" s="16" t="n"/>
      <c r="O151" s="16" t="n"/>
      <c r="P151" s="8" t="n"/>
      <c r="Q151" s="8" t="n"/>
      <c r="R151" s="8" t="n"/>
      <c r="S151" s="8" t="n"/>
      <c r="T151" s="8" t="n"/>
      <c r="U151" s="8" t="n"/>
      <c r="V151" s="8" t="n"/>
      <c r="W151" s="8" t="n"/>
      <c r="X151" s="8" t="n"/>
      <c r="Y151" s="8" t="n"/>
      <c r="Z151" s="8" t="n"/>
    </row>
    <row r="152" ht="13.5" customHeight="1" s="1">
      <c r="A152" s="8" t="n"/>
      <c r="B152" s="15" t="n"/>
      <c r="C152" s="8" t="n"/>
      <c r="D152" s="8" t="n"/>
      <c r="E152" s="16" t="n"/>
      <c r="F152" s="16" t="n"/>
      <c r="G152" s="16" t="n"/>
      <c r="H152" s="16" t="n"/>
      <c r="I152" s="16" t="n"/>
      <c r="J152" s="17" t="n"/>
      <c r="K152" s="16" t="n"/>
      <c r="L152" s="16" t="n"/>
      <c r="M152" s="16" t="n"/>
      <c r="N152" s="16" t="n"/>
      <c r="O152" s="16" t="n"/>
      <c r="P152" s="8" t="n"/>
      <c r="Q152" s="8" t="n"/>
      <c r="R152" s="8" t="n"/>
      <c r="S152" s="8" t="n"/>
      <c r="T152" s="8" t="n"/>
      <c r="U152" s="8" t="n"/>
      <c r="V152" s="8" t="n"/>
      <c r="W152" s="8" t="n"/>
      <c r="X152" s="8" t="n"/>
      <c r="Y152" s="8" t="n"/>
      <c r="Z152" s="8" t="n"/>
    </row>
    <row r="153" ht="13.5" customHeight="1" s="1">
      <c r="A153" s="8" t="n"/>
      <c r="B153" s="15" t="n"/>
      <c r="C153" s="8" t="n"/>
      <c r="D153" s="8" t="n"/>
      <c r="E153" s="16" t="n"/>
      <c r="F153" s="16" t="n"/>
      <c r="G153" s="16" t="n"/>
      <c r="H153" s="16" t="n"/>
      <c r="I153" s="16" t="n"/>
      <c r="J153" s="17" t="n"/>
      <c r="K153" s="16" t="n"/>
      <c r="L153" s="16" t="n"/>
      <c r="M153" s="16" t="n"/>
      <c r="N153" s="16" t="n"/>
      <c r="O153" s="16" t="n"/>
      <c r="P153" s="8" t="n"/>
      <c r="Q153" s="8" t="n"/>
      <c r="R153" s="8" t="n"/>
      <c r="S153" s="8" t="n"/>
      <c r="T153" s="8" t="n"/>
      <c r="U153" s="8" t="n"/>
      <c r="V153" s="8" t="n"/>
      <c r="W153" s="8" t="n"/>
      <c r="X153" s="8" t="n"/>
      <c r="Y153" s="8" t="n"/>
      <c r="Z153" s="8" t="n"/>
    </row>
    <row r="154" ht="13.5" customHeight="1" s="1">
      <c r="A154" s="8" t="n"/>
      <c r="B154" s="15" t="n"/>
      <c r="C154" s="8" t="n"/>
      <c r="D154" s="8" t="n"/>
      <c r="E154" s="16" t="n"/>
      <c r="F154" s="16" t="n"/>
      <c r="G154" s="16" t="n"/>
      <c r="H154" s="16" t="n"/>
      <c r="I154" s="16" t="n"/>
      <c r="J154" s="17" t="n"/>
      <c r="K154" s="16" t="n"/>
      <c r="L154" s="16" t="n"/>
      <c r="M154" s="16" t="n"/>
      <c r="N154" s="16" t="n"/>
      <c r="O154" s="16" t="n"/>
      <c r="P154" s="8" t="n"/>
      <c r="Q154" s="8" t="n"/>
      <c r="R154" s="8" t="n"/>
      <c r="S154" s="8" t="n"/>
      <c r="T154" s="8" t="n"/>
      <c r="U154" s="8" t="n"/>
      <c r="V154" s="8" t="n"/>
      <c r="W154" s="8" t="n"/>
      <c r="X154" s="8" t="n"/>
      <c r="Y154" s="8" t="n"/>
      <c r="Z154" s="8" t="n"/>
    </row>
    <row r="155" ht="13.5" customHeight="1" s="1">
      <c r="A155" s="8" t="n"/>
      <c r="B155" s="15" t="n"/>
      <c r="C155" s="8" t="n"/>
      <c r="D155" s="8" t="n"/>
      <c r="E155" s="16" t="n"/>
      <c r="F155" s="16" t="n"/>
      <c r="G155" s="16" t="n"/>
      <c r="H155" s="16" t="n"/>
      <c r="I155" s="16" t="n"/>
      <c r="J155" s="17" t="n"/>
      <c r="K155" s="16" t="n"/>
      <c r="L155" s="16" t="n"/>
      <c r="M155" s="16" t="n"/>
      <c r="N155" s="16" t="n"/>
      <c r="O155" s="16" t="n"/>
      <c r="P155" s="8" t="n"/>
      <c r="Q155" s="8" t="n"/>
      <c r="R155" s="8" t="n"/>
      <c r="S155" s="8" t="n"/>
      <c r="T155" s="8" t="n"/>
      <c r="U155" s="8" t="n"/>
      <c r="V155" s="8" t="n"/>
      <c r="W155" s="8" t="n"/>
      <c r="X155" s="8" t="n"/>
      <c r="Y155" s="8" t="n"/>
      <c r="Z155" s="8" t="n"/>
    </row>
    <row r="156" ht="13.5" customHeight="1" s="1">
      <c r="A156" s="8" t="n"/>
      <c r="B156" s="15" t="n"/>
      <c r="C156" s="8" t="n"/>
      <c r="D156" s="8" t="n"/>
      <c r="E156" s="16" t="n"/>
      <c r="F156" s="16" t="n"/>
      <c r="G156" s="16" t="n"/>
      <c r="H156" s="16" t="n"/>
      <c r="I156" s="16" t="n"/>
      <c r="J156" s="17" t="n"/>
      <c r="K156" s="16" t="n"/>
      <c r="L156" s="16" t="n"/>
      <c r="M156" s="16" t="n"/>
      <c r="N156" s="16" t="n"/>
      <c r="O156" s="16" t="n"/>
      <c r="P156" s="8" t="n"/>
      <c r="Q156" s="8" t="n"/>
      <c r="R156" s="8" t="n"/>
      <c r="S156" s="8" t="n"/>
      <c r="T156" s="8" t="n"/>
      <c r="U156" s="8" t="n"/>
      <c r="V156" s="8" t="n"/>
      <c r="W156" s="8" t="n"/>
      <c r="X156" s="8" t="n"/>
      <c r="Y156" s="8" t="n"/>
      <c r="Z156" s="8" t="n"/>
    </row>
    <row r="157" ht="13.5" customHeight="1" s="1">
      <c r="A157" s="8" t="n"/>
      <c r="B157" s="15" t="n"/>
      <c r="C157" s="8" t="n"/>
      <c r="D157" s="8" t="n"/>
      <c r="E157" s="16" t="n"/>
      <c r="F157" s="16" t="n"/>
      <c r="G157" s="16" t="n"/>
      <c r="H157" s="16" t="n"/>
      <c r="I157" s="16" t="n"/>
      <c r="J157" s="17" t="n"/>
      <c r="K157" s="16" t="n"/>
      <c r="L157" s="16" t="n"/>
      <c r="M157" s="16" t="n"/>
      <c r="N157" s="16" t="n"/>
      <c r="O157" s="16" t="n"/>
      <c r="P157" s="8" t="n"/>
      <c r="Q157" s="8" t="n"/>
      <c r="R157" s="8" t="n"/>
      <c r="S157" s="8" t="n"/>
      <c r="T157" s="8" t="n"/>
      <c r="U157" s="8" t="n"/>
      <c r="V157" s="8" t="n"/>
      <c r="W157" s="8" t="n"/>
      <c r="X157" s="8" t="n"/>
      <c r="Y157" s="8" t="n"/>
      <c r="Z157" s="8" t="n"/>
    </row>
    <row r="158" ht="13.5" customHeight="1" s="1">
      <c r="A158" s="8" t="n"/>
      <c r="B158" s="15" t="n"/>
      <c r="C158" s="8" t="n"/>
      <c r="D158" s="8" t="n"/>
      <c r="E158" s="16" t="n"/>
      <c r="F158" s="16" t="n"/>
      <c r="G158" s="16" t="n"/>
      <c r="H158" s="16" t="n"/>
      <c r="I158" s="16" t="n"/>
      <c r="J158" s="17" t="n"/>
      <c r="K158" s="16" t="n"/>
      <c r="L158" s="16" t="n"/>
      <c r="M158" s="16" t="n"/>
      <c r="N158" s="16" t="n"/>
      <c r="O158" s="16" t="n"/>
      <c r="P158" s="8" t="n"/>
      <c r="Q158" s="8" t="n"/>
      <c r="R158" s="8" t="n"/>
      <c r="S158" s="8" t="n"/>
      <c r="T158" s="8" t="n"/>
      <c r="U158" s="8" t="n"/>
      <c r="V158" s="8" t="n"/>
      <c r="W158" s="8" t="n"/>
      <c r="X158" s="8" t="n"/>
      <c r="Y158" s="8" t="n"/>
      <c r="Z158" s="8" t="n"/>
    </row>
    <row r="159" ht="13.5" customHeight="1" s="1">
      <c r="A159" s="8" t="n"/>
      <c r="B159" s="15" t="n"/>
      <c r="C159" s="8" t="n"/>
      <c r="D159" s="8" t="n"/>
      <c r="E159" s="16" t="n"/>
      <c r="F159" s="16" t="n"/>
      <c r="G159" s="16" t="n"/>
      <c r="H159" s="16" t="n"/>
      <c r="I159" s="16" t="n"/>
      <c r="J159" s="17" t="n"/>
      <c r="K159" s="16" t="n"/>
      <c r="L159" s="16" t="n"/>
      <c r="M159" s="16" t="n"/>
      <c r="N159" s="16" t="n"/>
      <c r="O159" s="16" t="n"/>
      <c r="P159" s="8" t="n"/>
      <c r="Q159" s="8" t="n"/>
      <c r="R159" s="8" t="n"/>
      <c r="S159" s="8" t="n"/>
      <c r="T159" s="8" t="n"/>
      <c r="U159" s="8" t="n"/>
      <c r="V159" s="8" t="n"/>
      <c r="W159" s="8" t="n"/>
      <c r="X159" s="8" t="n"/>
      <c r="Y159" s="8" t="n"/>
      <c r="Z159" s="8" t="n"/>
    </row>
    <row r="160" ht="13.5" customHeight="1" s="1">
      <c r="A160" s="8" t="n"/>
      <c r="B160" s="15" t="n"/>
      <c r="C160" s="8" t="n"/>
      <c r="D160" s="8" t="n"/>
      <c r="E160" s="16" t="n"/>
      <c r="F160" s="16" t="n"/>
      <c r="G160" s="16" t="n"/>
      <c r="H160" s="16" t="n"/>
      <c r="I160" s="16" t="n"/>
      <c r="J160" s="17" t="n"/>
      <c r="K160" s="16" t="n"/>
      <c r="L160" s="16" t="n"/>
      <c r="M160" s="16" t="n"/>
      <c r="N160" s="16" t="n"/>
      <c r="O160" s="16" t="n"/>
      <c r="P160" s="8" t="n"/>
      <c r="Q160" s="8" t="n"/>
      <c r="R160" s="8" t="n"/>
      <c r="S160" s="8" t="n"/>
      <c r="T160" s="8" t="n"/>
      <c r="U160" s="8" t="n"/>
      <c r="V160" s="8" t="n"/>
      <c r="W160" s="8" t="n"/>
      <c r="X160" s="8" t="n"/>
      <c r="Y160" s="8" t="n"/>
      <c r="Z160" s="8" t="n"/>
    </row>
    <row r="161" ht="13.5" customHeight="1" s="1">
      <c r="A161" s="8" t="n"/>
      <c r="B161" s="15" t="n"/>
      <c r="C161" s="8" t="n"/>
      <c r="D161" s="8" t="n"/>
      <c r="E161" s="16" t="n"/>
      <c r="F161" s="16" t="n"/>
      <c r="G161" s="16" t="n"/>
      <c r="H161" s="16" t="n"/>
      <c r="I161" s="16" t="n"/>
      <c r="J161" s="17" t="n"/>
      <c r="K161" s="16" t="n"/>
      <c r="L161" s="16" t="n"/>
      <c r="M161" s="16" t="n"/>
      <c r="N161" s="16" t="n"/>
      <c r="O161" s="16" t="n"/>
      <c r="P161" s="8" t="n"/>
      <c r="Q161" s="8" t="n"/>
      <c r="R161" s="8" t="n"/>
      <c r="S161" s="8" t="n"/>
      <c r="T161" s="8" t="n"/>
      <c r="U161" s="8" t="n"/>
      <c r="V161" s="8" t="n"/>
      <c r="W161" s="8" t="n"/>
      <c r="X161" s="8" t="n"/>
      <c r="Y161" s="8" t="n"/>
      <c r="Z161" s="8" t="n"/>
    </row>
    <row r="162" ht="13.5" customHeight="1" s="1">
      <c r="A162" s="8" t="n"/>
      <c r="B162" s="15" t="n"/>
      <c r="C162" s="8" t="n"/>
      <c r="D162" s="8" t="n"/>
      <c r="E162" s="16" t="n"/>
      <c r="F162" s="16" t="n"/>
      <c r="G162" s="16" t="n"/>
      <c r="H162" s="16" t="n"/>
      <c r="I162" s="16" t="n"/>
      <c r="J162" s="17" t="n"/>
      <c r="K162" s="16" t="n"/>
      <c r="L162" s="16" t="n"/>
      <c r="M162" s="16" t="n"/>
      <c r="N162" s="16" t="n"/>
      <c r="O162" s="16" t="n"/>
      <c r="P162" s="8" t="n"/>
      <c r="Q162" s="8" t="n"/>
      <c r="R162" s="8" t="n"/>
      <c r="S162" s="8" t="n"/>
      <c r="T162" s="8" t="n"/>
      <c r="U162" s="8" t="n"/>
      <c r="V162" s="8" t="n"/>
      <c r="W162" s="8" t="n"/>
      <c r="X162" s="8" t="n"/>
      <c r="Y162" s="8" t="n"/>
      <c r="Z162" s="8" t="n"/>
    </row>
    <row r="163" ht="13.5" customHeight="1" s="1">
      <c r="A163" s="8" t="n"/>
      <c r="B163" s="15" t="n"/>
      <c r="C163" s="8" t="n"/>
      <c r="D163" s="8" t="n"/>
      <c r="E163" s="16" t="n"/>
      <c r="F163" s="16" t="n"/>
      <c r="G163" s="16" t="n"/>
      <c r="H163" s="16" t="n"/>
      <c r="I163" s="16" t="n"/>
      <c r="J163" s="17" t="n"/>
      <c r="K163" s="16" t="n"/>
      <c r="L163" s="16" t="n"/>
      <c r="M163" s="16" t="n"/>
      <c r="N163" s="16" t="n"/>
      <c r="O163" s="16" t="n"/>
      <c r="P163" s="8" t="n"/>
      <c r="Q163" s="8" t="n"/>
      <c r="R163" s="8" t="n"/>
      <c r="S163" s="8" t="n"/>
      <c r="T163" s="8" t="n"/>
      <c r="U163" s="8" t="n"/>
      <c r="V163" s="8" t="n"/>
      <c r="W163" s="8" t="n"/>
      <c r="X163" s="8" t="n"/>
      <c r="Y163" s="8" t="n"/>
      <c r="Z163" s="8" t="n"/>
    </row>
    <row r="164" ht="13.5" customHeight="1" s="1">
      <c r="A164" s="8" t="n"/>
      <c r="B164" s="15" t="n"/>
      <c r="C164" s="8" t="n"/>
      <c r="D164" s="8" t="n"/>
      <c r="E164" s="16" t="n"/>
      <c r="F164" s="16" t="n"/>
      <c r="G164" s="16" t="n"/>
      <c r="H164" s="16" t="n"/>
      <c r="I164" s="16" t="n"/>
      <c r="J164" s="17" t="n"/>
      <c r="K164" s="16" t="n"/>
      <c r="L164" s="16" t="n"/>
      <c r="M164" s="16" t="n"/>
      <c r="N164" s="16" t="n"/>
      <c r="O164" s="16" t="n"/>
      <c r="P164" s="8" t="n"/>
      <c r="Q164" s="8" t="n"/>
      <c r="R164" s="8" t="n"/>
      <c r="S164" s="8" t="n"/>
      <c r="T164" s="8" t="n"/>
      <c r="U164" s="8" t="n"/>
      <c r="V164" s="8" t="n"/>
      <c r="W164" s="8" t="n"/>
      <c r="X164" s="8" t="n"/>
      <c r="Y164" s="8" t="n"/>
      <c r="Z164" s="8" t="n"/>
    </row>
    <row r="165" ht="13.5" customHeight="1" s="1">
      <c r="A165" s="8" t="n"/>
      <c r="B165" s="15" t="n"/>
      <c r="C165" s="8" t="n"/>
      <c r="D165" s="8" t="n"/>
      <c r="E165" s="16" t="n"/>
      <c r="F165" s="16" t="n"/>
      <c r="G165" s="16" t="n"/>
      <c r="H165" s="16" t="n"/>
      <c r="I165" s="16" t="n"/>
      <c r="J165" s="17" t="n"/>
      <c r="K165" s="16" t="n"/>
      <c r="L165" s="16" t="n"/>
      <c r="M165" s="16" t="n"/>
      <c r="N165" s="16" t="n"/>
      <c r="O165" s="16" t="n"/>
      <c r="P165" s="8" t="n"/>
      <c r="Q165" s="8" t="n"/>
      <c r="R165" s="8" t="n"/>
      <c r="S165" s="8" t="n"/>
      <c r="T165" s="8" t="n"/>
      <c r="U165" s="8" t="n"/>
      <c r="V165" s="8" t="n"/>
      <c r="W165" s="8" t="n"/>
      <c r="X165" s="8" t="n"/>
      <c r="Y165" s="8" t="n"/>
      <c r="Z165" s="8" t="n"/>
    </row>
    <row r="166" ht="13.5" customHeight="1" s="1">
      <c r="A166" s="8" t="n"/>
      <c r="B166" s="15" t="n"/>
      <c r="C166" s="8" t="n"/>
      <c r="D166" s="8" t="n"/>
      <c r="E166" s="16" t="n"/>
      <c r="F166" s="16" t="n"/>
      <c r="G166" s="16" t="n"/>
      <c r="H166" s="16" t="n"/>
      <c r="I166" s="16" t="n"/>
      <c r="J166" s="17" t="n"/>
      <c r="K166" s="16" t="n"/>
      <c r="L166" s="16" t="n"/>
      <c r="M166" s="16" t="n"/>
      <c r="N166" s="16" t="n"/>
      <c r="O166" s="16" t="n"/>
      <c r="P166" s="8" t="n"/>
      <c r="Q166" s="8" t="n"/>
      <c r="R166" s="8" t="n"/>
      <c r="S166" s="8" t="n"/>
      <c r="T166" s="8" t="n"/>
      <c r="U166" s="8" t="n"/>
      <c r="V166" s="8" t="n"/>
      <c r="W166" s="8" t="n"/>
      <c r="X166" s="8" t="n"/>
      <c r="Y166" s="8" t="n"/>
      <c r="Z166" s="8" t="n"/>
    </row>
    <row r="167" ht="13.5" customHeight="1" s="1">
      <c r="A167" s="8" t="n"/>
      <c r="B167" s="15" t="n"/>
      <c r="C167" s="8" t="n"/>
      <c r="D167" s="8" t="n"/>
      <c r="E167" s="16" t="n"/>
      <c r="F167" s="16" t="n"/>
      <c r="G167" s="16" t="n"/>
      <c r="H167" s="16" t="n"/>
      <c r="I167" s="16" t="n"/>
      <c r="J167" s="17" t="n"/>
      <c r="K167" s="16" t="n"/>
      <c r="L167" s="16" t="n"/>
      <c r="M167" s="16" t="n"/>
      <c r="N167" s="16" t="n"/>
      <c r="O167" s="16" t="n"/>
      <c r="P167" s="8" t="n"/>
      <c r="Q167" s="8" t="n"/>
      <c r="R167" s="8" t="n"/>
      <c r="S167" s="8" t="n"/>
      <c r="T167" s="8" t="n"/>
      <c r="U167" s="8" t="n"/>
      <c r="V167" s="8" t="n"/>
      <c r="W167" s="8" t="n"/>
      <c r="X167" s="8" t="n"/>
      <c r="Y167" s="8" t="n"/>
      <c r="Z167" s="8" t="n"/>
    </row>
    <row r="168" ht="13.5" customHeight="1" s="1">
      <c r="A168" s="8" t="n"/>
      <c r="B168" s="15" t="n"/>
      <c r="C168" s="8" t="n"/>
      <c r="D168" s="8" t="n"/>
      <c r="E168" s="16" t="n"/>
      <c r="F168" s="16" t="n"/>
      <c r="G168" s="16" t="n"/>
      <c r="H168" s="16" t="n"/>
      <c r="I168" s="16" t="n"/>
      <c r="J168" s="17" t="n"/>
      <c r="K168" s="16" t="n"/>
      <c r="L168" s="16" t="n"/>
      <c r="M168" s="16" t="n"/>
      <c r="N168" s="16" t="n"/>
      <c r="O168" s="16" t="n"/>
      <c r="P168" s="8" t="n"/>
      <c r="Q168" s="8" t="n"/>
      <c r="R168" s="8" t="n"/>
      <c r="S168" s="8" t="n"/>
      <c r="T168" s="8" t="n"/>
      <c r="U168" s="8" t="n"/>
      <c r="V168" s="8" t="n"/>
      <c r="W168" s="8" t="n"/>
      <c r="X168" s="8" t="n"/>
      <c r="Y168" s="8" t="n"/>
      <c r="Z168" s="8" t="n"/>
    </row>
    <row r="169" ht="13.5" customHeight="1" s="1">
      <c r="A169" s="8" t="n"/>
      <c r="B169" s="15" t="n"/>
      <c r="C169" s="8" t="n"/>
      <c r="D169" s="8" t="n"/>
      <c r="E169" s="16" t="n"/>
      <c r="F169" s="16" t="n"/>
      <c r="G169" s="16" t="n"/>
      <c r="H169" s="16" t="n"/>
      <c r="I169" s="16" t="n"/>
      <c r="J169" s="17" t="n"/>
      <c r="K169" s="16" t="n"/>
      <c r="L169" s="16" t="n"/>
      <c r="M169" s="16" t="n"/>
      <c r="N169" s="16" t="n"/>
      <c r="O169" s="16" t="n"/>
      <c r="P169" s="8" t="n"/>
      <c r="Q169" s="8" t="n"/>
      <c r="R169" s="8" t="n"/>
      <c r="S169" s="8" t="n"/>
      <c r="T169" s="8" t="n"/>
      <c r="U169" s="8" t="n"/>
      <c r="V169" s="8" t="n"/>
      <c r="W169" s="8" t="n"/>
      <c r="X169" s="8" t="n"/>
      <c r="Y169" s="8" t="n"/>
      <c r="Z169" s="8" t="n"/>
    </row>
    <row r="170" ht="13.5" customHeight="1" s="1">
      <c r="A170" s="8" t="n"/>
      <c r="B170" s="15" t="n"/>
      <c r="C170" s="8" t="n"/>
      <c r="D170" s="8" t="n"/>
      <c r="E170" s="16" t="n"/>
      <c r="F170" s="16" t="n"/>
      <c r="G170" s="16" t="n"/>
      <c r="H170" s="16" t="n"/>
      <c r="I170" s="16" t="n"/>
      <c r="J170" s="17" t="n"/>
      <c r="K170" s="16" t="n"/>
      <c r="L170" s="16" t="n"/>
      <c r="M170" s="16" t="n"/>
      <c r="N170" s="16" t="n"/>
      <c r="O170" s="16" t="n"/>
      <c r="P170" s="8" t="n"/>
      <c r="Q170" s="8" t="n"/>
      <c r="R170" s="8" t="n"/>
      <c r="S170" s="8" t="n"/>
      <c r="T170" s="8" t="n"/>
      <c r="U170" s="8" t="n"/>
      <c r="V170" s="8" t="n"/>
      <c r="W170" s="8" t="n"/>
      <c r="X170" s="8" t="n"/>
      <c r="Y170" s="8" t="n"/>
      <c r="Z170" s="8" t="n"/>
    </row>
    <row r="171" ht="13.5" customHeight="1" s="1">
      <c r="A171" s="8" t="n"/>
      <c r="B171" s="15" t="n"/>
      <c r="C171" s="8" t="n"/>
      <c r="D171" s="8" t="n"/>
      <c r="E171" s="16" t="n"/>
      <c r="F171" s="16" t="n"/>
      <c r="G171" s="16" t="n"/>
      <c r="H171" s="16" t="n"/>
      <c r="I171" s="16" t="n"/>
      <c r="J171" s="17" t="n"/>
      <c r="K171" s="16" t="n"/>
      <c r="L171" s="16" t="n"/>
      <c r="M171" s="16" t="n"/>
      <c r="N171" s="16" t="n"/>
      <c r="O171" s="16" t="n"/>
      <c r="P171" s="8" t="n"/>
      <c r="Q171" s="8" t="n"/>
      <c r="R171" s="8" t="n"/>
      <c r="S171" s="8" t="n"/>
      <c r="T171" s="8" t="n"/>
      <c r="U171" s="8" t="n"/>
      <c r="V171" s="8" t="n"/>
      <c r="W171" s="8" t="n"/>
      <c r="X171" s="8" t="n"/>
      <c r="Y171" s="8" t="n"/>
      <c r="Z171" s="8" t="n"/>
    </row>
    <row r="172" ht="13.5" customHeight="1" s="1">
      <c r="A172" s="8" t="n"/>
      <c r="B172" s="15" t="n"/>
      <c r="C172" s="8" t="n"/>
      <c r="D172" s="8" t="n"/>
      <c r="E172" s="16" t="n"/>
      <c r="F172" s="16" t="n"/>
      <c r="G172" s="16" t="n"/>
      <c r="H172" s="16" t="n"/>
      <c r="I172" s="16" t="n"/>
      <c r="J172" s="17" t="n"/>
      <c r="K172" s="16" t="n"/>
      <c r="L172" s="16" t="n"/>
      <c r="M172" s="16" t="n"/>
      <c r="N172" s="16" t="n"/>
      <c r="O172" s="16" t="n"/>
      <c r="P172" s="8" t="n"/>
      <c r="Q172" s="8" t="n"/>
      <c r="R172" s="8" t="n"/>
      <c r="S172" s="8" t="n"/>
      <c r="T172" s="8" t="n"/>
      <c r="U172" s="8" t="n"/>
      <c r="V172" s="8" t="n"/>
      <c r="W172" s="8" t="n"/>
      <c r="X172" s="8" t="n"/>
      <c r="Y172" s="8" t="n"/>
      <c r="Z172" s="8" t="n"/>
    </row>
    <row r="173" ht="13.5" customHeight="1" s="1">
      <c r="A173" s="8" t="n"/>
      <c r="B173" s="15" t="n"/>
      <c r="C173" s="8" t="n"/>
      <c r="D173" s="8" t="n"/>
      <c r="E173" s="16" t="n"/>
      <c r="F173" s="16" t="n"/>
      <c r="G173" s="16" t="n"/>
      <c r="H173" s="16" t="n"/>
      <c r="I173" s="16" t="n"/>
      <c r="J173" s="17" t="n"/>
      <c r="K173" s="16" t="n"/>
      <c r="L173" s="16" t="n"/>
      <c r="M173" s="16" t="n"/>
      <c r="N173" s="16" t="n"/>
      <c r="O173" s="16" t="n"/>
      <c r="P173" s="8" t="n"/>
      <c r="Q173" s="8" t="n"/>
      <c r="R173" s="8" t="n"/>
      <c r="S173" s="8" t="n"/>
      <c r="T173" s="8" t="n"/>
      <c r="U173" s="8" t="n"/>
      <c r="V173" s="8" t="n"/>
      <c r="W173" s="8" t="n"/>
      <c r="X173" s="8" t="n"/>
      <c r="Y173" s="8" t="n"/>
      <c r="Z173" s="8" t="n"/>
    </row>
    <row r="174" ht="13.5" customHeight="1" s="1">
      <c r="A174" s="8" t="n"/>
      <c r="B174" s="15" t="n"/>
      <c r="C174" s="8" t="n"/>
      <c r="D174" s="8" t="n"/>
      <c r="E174" s="16" t="n"/>
      <c r="F174" s="16" t="n"/>
      <c r="G174" s="16" t="n"/>
      <c r="H174" s="16" t="n"/>
      <c r="I174" s="16" t="n"/>
      <c r="J174" s="17" t="n"/>
      <c r="K174" s="16" t="n"/>
      <c r="L174" s="16" t="n"/>
      <c r="M174" s="16" t="n"/>
      <c r="N174" s="16" t="n"/>
      <c r="O174" s="16" t="n"/>
      <c r="P174" s="8" t="n"/>
      <c r="Q174" s="8" t="n"/>
      <c r="R174" s="8" t="n"/>
      <c r="S174" s="8" t="n"/>
      <c r="T174" s="8" t="n"/>
      <c r="U174" s="8" t="n"/>
      <c r="V174" s="8" t="n"/>
      <c r="W174" s="8" t="n"/>
      <c r="X174" s="8" t="n"/>
      <c r="Y174" s="8" t="n"/>
      <c r="Z174" s="8" t="n"/>
    </row>
    <row r="175" ht="13.5" customHeight="1" s="1">
      <c r="A175" s="8" t="n"/>
      <c r="B175" s="15" t="n"/>
      <c r="C175" s="8" t="n"/>
      <c r="D175" s="8" t="n"/>
      <c r="E175" s="16" t="n"/>
      <c r="F175" s="16" t="n"/>
      <c r="G175" s="16" t="n"/>
      <c r="H175" s="16" t="n"/>
      <c r="I175" s="16" t="n"/>
      <c r="J175" s="17" t="n"/>
      <c r="K175" s="16" t="n"/>
      <c r="L175" s="16" t="n"/>
      <c r="M175" s="16" t="n"/>
      <c r="N175" s="16" t="n"/>
      <c r="O175" s="16" t="n"/>
      <c r="P175" s="8" t="n"/>
      <c r="Q175" s="8" t="n"/>
      <c r="R175" s="8" t="n"/>
      <c r="S175" s="8" t="n"/>
      <c r="T175" s="8" t="n"/>
      <c r="U175" s="8" t="n"/>
      <c r="V175" s="8" t="n"/>
      <c r="W175" s="8" t="n"/>
      <c r="X175" s="8" t="n"/>
      <c r="Y175" s="8" t="n"/>
      <c r="Z175" s="8" t="n"/>
    </row>
    <row r="176" ht="13.5" customHeight="1" s="1">
      <c r="A176" s="8" t="n"/>
      <c r="B176" s="15" t="n"/>
      <c r="C176" s="8" t="n"/>
      <c r="D176" s="8" t="n"/>
      <c r="E176" s="16" t="n"/>
      <c r="F176" s="16" t="n"/>
      <c r="G176" s="16" t="n"/>
      <c r="H176" s="16" t="n"/>
      <c r="I176" s="16" t="n"/>
      <c r="J176" s="17" t="n"/>
      <c r="K176" s="16" t="n"/>
      <c r="L176" s="16" t="n"/>
      <c r="M176" s="16" t="n"/>
      <c r="N176" s="16" t="n"/>
      <c r="O176" s="16" t="n"/>
      <c r="P176" s="8" t="n"/>
      <c r="Q176" s="8" t="n"/>
      <c r="R176" s="8" t="n"/>
      <c r="S176" s="8" t="n"/>
      <c r="T176" s="8" t="n"/>
      <c r="U176" s="8" t="n"/>
      <c r="V176" s="8" t="n"/>
      <c r="W176" s="8" t="n"/>
      <c r="X176" s="8" t="n"/>
      <c r="Y176" s="8" t="n"/>
      <c r="Z176" s="8" t="n"/>
    </row>
    <row r="177" ht="13.5" customHeight="1" s="1">
      <c r="A177" s="8" t="n"/>
      <c r="B177" s="15" t="n"/>
      <c r="C177" s="8" t="n"/>
      <c r="D177" s="8" t="n"/>
      <c r="E177" s="16" t="n"/>
      <c r="F177" s="16" t="n"/>
      <c r="G177" s="16" t="n"/>
      <c r="H177" s="16" t="n"/>
      <c r="I177" s="16" t="n"/>
      <c r="J177" s="17" t="n"/>
      <c r="K177" s="16" t="n"/>
      <c r="L177" s="16" t="n"/>
      <c r="M177" s="16" t="n"/>
      <c r="N177" s="16" t="n"/>
      <c r="O177" s="16" t="n"/>
      <c r="P177" s="8" t="n"/>
      <c r="Q177" s="8" t="n"/>
      <c r="R177" s="8" t="n"/>
      <c r="S177" s="8" t="n"/>
      <c r="T177" s="8" t="n"/>
      <c r="U177" s="8" t="n"/>
      <c r="V177" s="8" t="n"/>
      <c r="W177" s="8" t="n"/>
      <c r="X177" s="8" t="n"/>
      <c r="Y177" s="8" t="n"/>
      <c r="Z177" s="8" t="n"/>
    </row>
    <row r="178" ht="13.5" customHeight="1" s="1">
      <c r="A178" s="8" t="n"/>
      <c r="B178" s="15" t="n"/>
      <c r="C178" s="8" t="n"/>
      <c r="D178" s="8" t="n"/>
      <c r="E178" s="16" t="n"/>
      <c r="F178" s="16" t="n"/>
      <c r="G178" s="16" t="n"/>
      <c r="H178" s="16" t="n"/>
      <c r="I178" s="16" t="n"/>
      <c r="J178" s="17" t="n"/>
      <c r="K178" s="16" t="n"/>
      <c r="L178" s="16" t="n"/>
      <c r="M178" s="16" t="n"/>
      <c r="N178" s="16" t="n"/>
      <c r="O178" s="16" t="n"/>
      <c r="P178" s="8" t="n"/>
      <c r="Q178" s="8" t="n"/>
      <c r="R178" s="8" t="n"/>
      <c r="S178" s="8" t="n"/>
      <c r="T178" s="8" t="n"/>
      <c r="U178" s="8" t="n"/>
      <c r="V178" s="8" t="n"/>
      <c r="W178" s="8" t="n"/>
      <c r="X178" s="8" t="n"/>
      <c r="Y178" s="8" t="n"/>
      <c r="Z178" s="8" t="n"/>
    </row>
    <row r="179" ht="13.5" customHeight="1" s="1">
      <c r="A179" s="8" t="n"/>
      <c r="B179" s="15" t="n"/>
      <c r="C179" s="8" t="n"/>
      <c r="D179" s="8" t="n"/>
      <c r="E179" s="16" t="n"/>
      <c r="F179" s="16" t="n"/>
      <c r="G179" s="16" t="n"/>
      <c r="H179" s="16" t="n"/>
      <c r="I179" s="16" t="n"/>
      <c r="J179" s="17" t="n"/>
      <c r="K179" s="16" t="n"/>
      <c r="L179" s="16" t="n"/>
      <c r="M179" s="16" t="n"/>
      <c r="N179" s="16" t="n"/>
      <c r="O179" s="16" t="n"/>
      <c r="P179" s="8" t="n"/>
      <c r="Q179" s="8" t="n"/>
      <c r="R179" s="8" t="n"/>
      <c r="S179" s="8" t="n"/>
      <c r="T179" s="8" t="n"/>
      <c r="U179" s="8" t="n"/>
      <c r="V179" s="8" t="n"/>
      <c r="W179" s="8" t="n"/>
      <c r="X179" s="8" t="n"/>
      <c r="Y179" s="8" t="n"/>
      <c r="Z179" s="8" t="n"/>
    </row>
    <row r="180" ht="13.5" customHeight="1" s="1">
      <c r="A180" s="8" t="n"/>
      <c r="B180" s="15" t="n"/>
      <c r="C180" s="8" t="n"/>
      <c r="D180" s="8" t="n"/>
      <c r="E180" s="16" t="n"/>
      <c r="F180" s="16" t="n"/>
      <c r="G180" s="16" t="n"/>
      <c r="H180" s="16" t="n"/>
      <c r="I180" s="16" t="n"/>
      <c r="J180" s="17" t="n"/>
      <c r="K180" s="16" t="n"/>
      <c r="L180" s="16" t="n"/>
      <c r="M180" s="16" t="n"/>
      <c r="N180" s="16" t="n"/>
      <c r="O180" s="16" t="n"/>
      <c r="P180" s="8" t="n"/>
      <c r="Q180" s="8" t="n"/>
      <c r="R180" s="8" t="n"/>
      <c r="S180" s="8" t="n"/>
      <c r="T180" s="8" t="n"/>
      <c r="U180" s="8" t="n"/>
      <c r="V180" s="8" t="n"/>
      <c r="W180" s="8" t="n"/>
      <c r="X180" s="8" t="n"/>
      <c r="Y180" s="8" t="n"/>
      <c r="Z180" s="8" t="n"/>
    </row>
    <row r="181" ht="13.5" customHeight="1" s="1">
      <c r="A181" s="8" t="n"/>
      <c r="B181" s="15" t="n"/>
      <c r="C181" s="8" t="n"/>
      <c r="D181" s="8" t="n"/>
      <c r="E181" s="16" t="n"/>
      <c r="F181" s="16" t="n"/>
      <c r="G181" s="16" t="n"/>
      <c r="H181" s="16" t="n"/>
      <c r="I181" s="16" t="n"/>
      <c r="J181" s="17" t="n"/>
      <c r="K181" s="16" t="n"/>
      <c r="L181" s="16" t="n"/>
      <c r="M181" s="16" t="n"/>
      <c r="N181" s="16" t="n"/>
      <c r="O181" s="16" t="n"/>
      <c r="P181" s="8" t="n"/>
      <c r="Q181" s="8" t="n"/>
      <c r="R181" s="8" t="n"/>
      <c r="S181" s="8" t="n"/>
      <c r="T181" s="8" t="n"/>
      <c r="U181" s="8" t="n"/>
      <c r="V181" s="8" t="n"/>
      <c r="W181" s="8" t="n"/>
      <c r="X181" s="8" t="n"/>
      <c r="Y181" s="8" t="n"/>
      <c r="Z181" s="8" t="n"/>
    </row>
    <row r="182" ht="13.5" customHeight="1" s="1">
      <c r="A182" s="8" t="n"/>
      <c r="B182" s="15" t="n"/>
      <c r="C182" s="8" t="n"/>
      <c r="D182" s="8" t="n"/>
      <c r="E182" s="16" t="n"/>
      <c r="F182" s="16" t="n"/>
      <c r="G182" s="16" t="n"/>
      <c r="H182" s="16" t="n"/>
      <c r="I182" s="16" t="n"/>
      <c r="J182" s="17" t="n"/>
      <c r="K182" s="16" t="n"/>
      <c r="L182" s="16" t="n"/>
      <c r="M182" s="16" t="n"/>
      <c r="N182" s="16" t="n"/>
      <c r="O182" s="16" t="n"/>
      <c r="P182" s="8" t="n"/>
      <c r="Q182" s="8" t="n"/>
      <c r="R182" s="8" t="n"/>
      <c r="S182" s="8" t="n"/>
      <c r="T182" s="8" t="n"/>
      <c r="U182" s="8" t="n"/>
      <c r="V182" s="8" t="n"/>
      <c r="W182" s="8" t="n"/>
      <c r="X182" s="8" t="n"/>
      <c r="Y182" s="8" t="n"/>
      <c r="Z182" s="8" t="n"/>
    </row>
    <row r="183" ht="13.5" customHeight="1" s="1">
      <c r="A183" s="8" t="n"/>
      <c r="B183" s="15" t="n"/>
      <c r="C183" s="8" t="n"/>
      <c r="D183" s="8" t="n"/>
      <c r="E183" s="16" t="n"/>
      <c r="F183" s="16" t="n"/>
      <c r="G183" s="16" t="n"/>
      <c r="H183" s="16" t="n"/>
      <c r="I183" s="16" t="n"/>
      <c r="J183" s="17" t="n"/>
      <c r="K183" s="16" t="n"/>
      <c r="L183" s="16" t="n"/>
      <c r="M183" s="16" t="n"/>
      <c r="N183" s="16" t="n"/>
      <c r="O183" s="16" t="n"/>
      <c r="P183" s="8" t="n"/>
      <c r="Q183" s="8" t="n"/>
      <c r="R183" s="8" t="n"/>
      <c r="S183" s="8" t="n"/>
      <c r="T183" s="8" t="n"/>
      <c r="U183" s="8" t="n"/>
      <c r="V183" s="8" t="n"/>
      <c r="W183" s="8" t="n"/>
      <c r="X183" s="8" t="n"/>
      <c r="Y183" s="8" t="n"/>
      <c r="Z183" s="8" t="n"/>
    </row>
    <row r="184" ht="13.5" customHeight="1" s="1">
      <c r="A184" s="8" t="n"/>
      <c r="B184" s="15" t="n"/>
      <c r="C184" s="8" t="n"/>
      <c r="D184" s="8" t="n"/>
      <c r="E184" s="16" t="n"/>
      <c r="F184" s="16" t="n"/>
      <c r="G184" s="16" t="n"/>
      <c r="H184" s="16" t="n"/>
      <c r="I184" s="16" t="n"/>
      <c r="J184" s="17" t="n"/>
      <c r="K184" s="16" t="n"/>
      <c r="L184" s="16" t="n"/>
      <c r="M184" s="16" t="n"/>
      <c r="N184" s="16" t="n"/>
      <c r="O184" s="16" t="n"/>
      <c r="P184" s="8" t="n"/>
      <c r="Q184" s="8" t="n"/>
      <c r="R184" s="8" t="n"/>
      <c r="S184" s="8" t="n"/>
      <c r="T184" s="8" t="n"/>
      <c r="U184" s="8" t="n"/>
      <c r="V184" s="8" t="n"/>
      <c r="W184" s="8" t="n"/>
      <c r="X184" s="8" t="n"/>
      <c r="Y184" s="8" t="n"/>
      <c r="Z184" s="8" t="n"/>
    </row>
    <row r="185" ht="13.5" customHeight="1" s="1">
      <c r="A185" s="8" t="n"/>
      <c r="B185" s="15" t="n"/>
      <c r="C185" s="8" t="n"/>
      <c r="D185" s="8" t="n"/>
      <c r="E185" s="16" t="n"/>
      <c r="F185" s="16" t="n"/>
      <c r="G185" s="16" t="n"/>
      <c r="H185" s="16" t="n"/>
      <c r="I185" s="16" t="n"/>
      <c r="J185" s="17" t="n"/>
      <c r="K185" s="16" t="n"/>
      <c r="L185" s="16" t="n"/>
      <c r="M185" s="16" t="n"/>
      <c r="N185" s="16" t="n"/>
      <c r="O185" s="16" t="n"/>
      <c r="P185" s="8" t="n"/>
      <c r="Q185" s="8" t="n"/>
      <c r="R185" s="8" t="n"/>
      <c r="S185" s="8" t="n"/>
      <c r="T185" s="8" t="n"/>
      <c r="U185" s="8" t="n"/>
      <c r="V185" s="8" t="n"/>
      <c r="W185" s="8" t="n"/>
      <c r="X185" s="8" t="n"/>
      <c r="Y185" s="8" t="n"/>
      <c r="Z185" s="8" t="n"/>
    </row>
    <row r="186" ht="13.5" customHeight="1" s="1">
      <c r="A186" s="8" t="n"/>
      <c r="B186" s="15" t="n"/>
      <c r="C186" s="8" t="n"/>
      <c r="D186" s="8" t="n"/>
      <c r="E186" s="16" t="n"/>
      <c r="F186" s="16" t="n"/>
      <c r="G186" s="16" t="n"/>
      <c r="H186" s="16" t="n"/>
      <c r="I186" s="16" t="n"/>
      <c r="J186" s="17" t="n"/>
      <c r="K186" s="16" t="n"/>
      <c r="L186" s="16" t="n"/>
      <c r="M186" s="16" t="n"/>
      <c r="N186" s="16" t="n"/>
      <c r="O186" s="16" t="n"/>
      <c r="P186" s="8" t="n"/>
      <c r="Q186" s="8" t="n"/>
      <c r="R186" s="8" t="n"/>
      <c r="S186" s="8" t="n"/>
      <c r="T186" s="8" t="n"/>
      <c r="U186" s="8" t="n"/>
      <c r="V186" s="8" t="n"/>
      <c r="W186" s="8" t="n"/>
      <c r="X186" s="8" t="n"/>
      <c r="Y186" s="8" t="n"/>
      <c r="Z186" s="8" t="n"/>
    </row>
    <row r="187" ht="13.5" customHeight="1" s="1">
      <c r="A187" s="8" t="n"/>
      <c r="B187" s="15" t="n"/>
      <c r="C187" s="8" t="n"/>
      <c r="D187" s="8" t="n"/>
      <c r="E187" s="16" t="n"/>
      <c r="F187" s="16" t="n"/>
      <c r="G187" s="16" t="n"/>
      <c r="H187" s="16" t="n"/>
      <c r="I187" s="16" t="n"/>
      <c r="J187" s="17" t="n"/>
      <c r="K187" s="16" t="n"/>
      <c r="L187" s="16" t="n"/>
      <c r="M187" s="16" t="n"/>
      <c r="N187" s="16" t="n"/>
      <c r="O187" s="16" t="n"/>
      <c r="P187" s="8" t="n"/>
      <c r="Q187" s="8" t="n"/>
      <c r="R187" s="8" t="n"/>
      <c r="S187" s="8" t="n"/>
      <c r="T187" s="8" t="n"/>
      <c r="U187" s="8" t="n"/>
      <c r="V187" s="8" t="n"/>
      <c r="W187" s="8" t="n"/>
      <c r="X187" s="8" t="n"/>
      <c r="Y187" s="8" t="n"/>
      <c r="Z187" s="8" t="n"/>
    </row>
    <row r="188" ht="13.5" customHeight="1" s="1">
      <c r="A188" s="8" t="n"/>
      <c r="B188" s="15" t="n"/>
      <c r="C188" s="8" t="n"/>
      <c r="D188" s="8" t="n"/>
      <c r="E188" s="16" t="n"/>
      <c r="F188" s="16" t="n"/>
      <c r="G188" s="16" t="n"/>
      <c r="H188" s="16" t="n"/>
      <c r="I188" s="16" t="n"/>
      <c r="J188" s="17" t="n"/>
      <c r="K188" s="16" t="n"/>
      <c r="L188" s="16" t="n"/>
      <c r="M188" s="16" t="n"/>
      <c r="N188" s="16" t="n"/>
      <c r="O188" s="16" t="n"/>
      <c r="P188" s="8" t="n"/>
      <c r="Q188" s="8" t="n"/>
      <c r="R188" s="8" t="n"/>
      <c r="S188" s="8" t="n"/>
      <c r="T188" s="8" t="n"/>
      <c r="U188" s="8" t="n"/>
      <c r="V188" s="8" t="n"/>
      <c r="W188" s="8" t="n"/>
      <c r="X188" s="8" t="n"/>
      <c r="Y188" s="8" t="n"/>
      <c r="Z188" s="8" t="n"/>
    </row>
    <row r="189" ht="13.5" customHeight="1" s="1">
      <c r="A189" s="8" t="n"/>
      <c r="B189" s="15" t="n"/>
      <c r="C189" s="8" t="n"/>
      <c r="D189" s="8" t="n"/>
      <c r="E189" s="16" t="n"/>
      <c r="F189" s="16" t="n"/>
      <c r="G189" s="16" t="n"/>
      <c r="H189" s="16" t="n"/>
      <c r="I189" s="16" t="n"/>
      <c r="J189" s="17" t="n"/>
      <c r="K189" s="16" t="n"/>
      <c r="L189" s="16" t="n"/>
      <c r="M189" s="16" t="n"/>
      <c r="N189" s="16" t="n"/>
      <c r="O189" s="16" t="n"/>
      <c r="P189" s="8" t="n"/>
      <c r="Q189" s="8" t="n"/>
      <c r="R189" s="8" t="n"/>
      <c r="S189" s="8" t="n"/>
      <c r="T189" s="8" t="n"/>
      <c r="U189" s="8" t="n"/>
      <c r="V189" s="8" t="n"/>
      <c r="W189" s="8" t="n"/>
      <c r="X189" s="8" t="n"/>
      <c r="Y189" s="8" t="n"/>
      <c r="Z189" s="8" t="n"/>
    </row>
    <row r="190" ht="15.75" customHeight="1" s="1">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1">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1">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1">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1">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1">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1">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1">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1">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1">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1">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1">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1">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1">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1">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1">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1">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1">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1">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1">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1">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1">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1">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1">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1">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1">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1">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1">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3">
    <mergeCell ref="A1:T1"/>
    <mergeCell ref="C3:D3"/>
    <mergeCell ref="A2:T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6.88671875" customWidth="1" style="1" min="2" max="2"/>
    <col width="36.88671875" customWidth="1" style="1" min="3" max="3"/>
    <col width="7.21875" customWidth="1" style="1" min="4" max="5"/>
    <col width="8" customWidth="1" style="1" min="6" max="17"/>
    <col width="13.6640625" customWidth="1" style="1" min="18" max="18"/>
    <col width="12.6640625" customWidth="1" style="1" min="19" max="19"/>
    <col width="11.44140625" customWidth="1" style="1" min="20" max="20"/>
    <col width="14.44140625" customWidth="1" style="1" min="21" max="26"/>
    <col width="12.6640625" customWidth="1" style="1" min="27" max="28"/>
    <col width="12.6640625" customWidth="1" style="1" min="29" max="16384"/>
  </cols>
  <sheetData>
    <row r="1" ht="13.5" customHeight="1" s="1">
      <c r="A1" s="211" t="inlineStr">
        <is>
          <t>SRM  INSTITUTE  OF  SCIENCE  AND  TECHNOLOGY</t>
        </is>
      </c>
      <c r="B1" s="212" t="n"/>
      <c r="C1" s="212" t="n"/>
      <c r="D1" s="212" t="n"/>
      <c r="E1" s="212" t="n"/>
      <c r="F1" s="212" t="n"/>
      <c r="G1" s="212" t="n"/>
      <c r="H1" s="212" t="n"/>
      <c r="I1" s="212" t="n"/>
      <c r="J1" s="212" t="n"/>
      <c r="K1" s="212" t="n"/>
      <c r="L1" s="212" t="n"/>
      <c r="M1" s="212" t="n"/>
      <c r="N1" s="212" t="n"/>
      <c r="O1" s="212" t="n"/>
      <c r="P1" s="212" t="n"/>
      <c r="Q1" s="212" t="n"/>
      <c r="R1" s="212" t="n"/>
      <c r="S1" s="212" t="n"/>
      <c r="T1" s="213" t="n"/>
      <c r="U1" s="8" t="n"/>
      <c r="V1" s="8" t="n"/>
      <c r="W1" s="8" t="n"/>
      <c r="X1" s="8" t="n"/>
      <c r="Y1" s="8" t="n"/>
      <c r="Z1" s="8" t="n"/>
    </row>
    <row r="2" ht="18" customHeight="1" s="1">
      <c r="A2" s="9" t="inlineStr">
        <is>
          <t>Department  :</t>
        </is>
      </c>
      <c r="B2" s="10" t="n"/>
      <c r="C2" s="214" t="n"/>
      <c r="D2" s="213" t="n"/>
      <c r="E2" s="10" t="n"/>
      <c r="F2" s="10" t="n"/>
      <c r="G2" s="10" t="n"/>
      <c r="H2" s="10" t="n"/>
      <c r="I2" s="10" t="n"/>
      <c r="J2" s="10" t="n"/>
      <c r="K2" s="10" t="n"/>
      <c r="L2" s="10" t="n"/>
      <c r="M2" s="10" t="n"/>
      <c r="N2" s="10" t="n"/>
      <c r="O2" s="10" t="n"/>
      <c r="P2" s="10" t="n"/>
      <c r="Q2" s="10" t="n"/>
      <c r="R2" s="10" t="n"/>
      <c r="S2" s="10" t="n"/>
      <c r="T2" s="10" t="n"/>
      <c r="U2" s="8" t="n"/>
      <c r="V2" s="8" t="n"/>
      <c r="W2" s="8" t="n"/>
      <c r="X2" s="8" t="n"/>
      <c r="Y2" s="8" t="n"/>
      <c r="Z2" s="8" t="n"/>
    </row>
    <row r="3" ht="18" customHeight="1" s="1">
      <c r="A3" s="9" t="inlineStr">
        <is>
          <t>Degree :</t>
        </is>
      </c>
      <c r="B3" s="10" t="n"/>
      <c r="C3" s="214" t="n"/>
      <c r="D3" s="10" t="n"/>
      <c r="E3" s="11" t="inlineStr">
        <is>
          <t>Programme:</t>
        </is>
      </c>
      <c r="F3" s="10" t="n"/>
      <c r="G3" s="11" t="n"/>
      <c r="H3" s="10" t="n"/>
      <c r="I3" s="10" t="n"/>
      <c r="J3" s="10" t="n"/>
      <c r="K3" s="10" t="n"/>
      <c r="L3" s="11" t="inlineStr">
        <is>
          <t>Batch :</t>
        </is>
      </c>
      <c r="M3" s="11" t="n"/>
      <c r="N3" s="10" t="n"/>
      <c r="O3" s="10" t="n"/>
      <c r="P3" s="10" t="n"/>
      <c r="Q3" s="10" t="n"/>
      <c r="R3" s="10" t="n"/>
      <c r="S3" s="10" t="n"/>
      <c r="T3" s="10" t="n"/>
      <c r="U3" s="8" t="n"/>
      <c r="V3" s="8" t="n"/>
      <c r="W3" s="8" t="n"/>
      <c r="X3" s="8" t="n"/>
      <c r="Y3" s="8" t="n"/>
      <c r="Z3" s="8" t="n"/>
    </row>
    <row r="4" ht="18" customHeight="1" s="1">
      <c r="A4" s="11" t="inlineStr">
        <is>
          <t>Acadenic Year :</t>
        </is>
      </c>
      <c r="B4" s="10" t="n"/>
      <c r="C4" s="11" t="n"/>
      <c r="D4" s="10" t="n"/>
      <c r="E4" s="214" t="inlineStr">
        <is>
          <t>Year:</t>
        </is>
      </c>
      <c r="F4" s="11" t="n"/>
      <c r="G4" s="8" t="n"/>
      <c r="H4" s="10" t="n"/>
      <c r="I4" s="10" t="n"/>
      <c r="J4" s="10" t="n"/>
      <c r="K4" s="10" t="n"/>
      <c r="L4" s="214" t="inlineStr">
        <is>
          <t>Semester :</t>
        </is>
      </c>
      <c r="M4" s="10" t="n"/>
      <c r="N4" s="11" t="n"/>
      <c r="O4" s="10" t="n"/>
      <c r="P4" s="10" t="n"/>
      <c r="Q4" s="10" t="n"/>
      <c r="R4" s="11" t="inlineStr">
        <is>
          <t>Section:</t>
        </is>
      </c>
      <c r="S4" s="11" t="n"/>
      <c r="T4" s="10" t="n"/>
      <c r="U4" s="8" t="n"/>
      <c r="V4" s="8" t="n"/>
      <c r="W4" s="8" t="n"/>
      <c r="X4" s="8" t="n"/>
      <c r="Y4" s="8" t="n"/>
      <c r="Z4" s="8" t="n"/>
    </row>
    <row r="5" ht="18" customHeight="1" s="1">
      <c r="A5" s="41" t="inlineStr">
        <is>
          <t>Course Code &amp; Title :</t>
        </is>
      </c>
      <c r="B5" s="13" t="n"/>
      <c r="C5" s="42" t="n"/>
      <c r="D5" s="43" t="n"/>
      <c r="E5" s="8" t="n"/>
      <c r="F5" s="8" t="n"/>
      <c r="G5" s="8" t="n"/>
      <c r="H5" s="13" t="n"/>
      <c r="I5" s="13" t="n"/>
      <c r="J5" s="14" t="n"/>
      <c r="K5" s="13" t="n"/>
      <c r="L5" s="214" t="inlineStr">
        <is>
          <t>Course Coordinator :</t>
        </is>
      </c>
      <c r="M5" s="13" t="n"/>
      <c r="N5" s="13" t="n"/>
      <c r="O5" s="214" t="n"/>
      <c r="P5" s="8" t="n"/>
      <c r="Q5" s="13" t="n"/>
      <c r="R5" s="13" t="n"/>
      <c r="S5" s="13" t="n"/>
      <c r="T5" s="13" t="n"/>
      <c r="U5" s="8" t="n"/>
      <c r="V5" s="8" t="n"/>
      <c r="W5" s="8" t="n"/>
      <c r="X5" s="8" t="n"/>
      <c r="Y5" s="8" t="n"/>
      <c r="Z5" s="8" t="n"/>
    </row>
    <row r="6" ht="23.25" customHeight="1" s="1">
      <c r="A6" s="44" t="n"/>
      <c r="B6" s="45" t="n"/>
      <c r="C6" s="46" t="inlineStr">
        <is>
          <t>COURSE OUTCOME ATTAINMENT</t>
        </is>
      </c>
      <c r="D6" s="20" t="n"/>
      <c r="E6" s="20" t="n"/>
      <c r="F6" s="20" t="n"/>
      <c r="G6" s="47" t="n"/>
      <c r="H6" s="45" t="n"/>
      <c r="I6" s="45" t="n"/>
      <c r="J6" s="45" t="n"/>
      <c r="K6" s="45" t="n"/>
      <c r="L6" s="45" t="n"/>
      <c r="M6" s="45" t="n"/>
      <c r="N6" s="45" t="n"/>
      <c r="O6" s="45" t="n"/>
      <c r="P6" s="45" t="n"/>
      <c r="Q6" s="45" t="n"/>
      <c r="R6" s="45" t="n"/>
      <c r="S6" s="45" t="n"/>
      <c r="T6" s="45" t="n"/>
      <c r="U6" s="8" t="n"/>
      <c r="V6" s="8" t="n"/>
      <c r="W6" s="8" t="n"/>
      <c r="X6" s="8" t="n"/>
      <c r="Y6" s="8" t="n"/>
      <c r="Z6" s="8" t="n"/>
    </row>
    <row r="7" ht="34.5" customHeight="1" s="1">
      <c r="A7" s="48" t="n"/>
      <c r="B7" s="48" t="n"/>
      <c r="C7" s="49" t="n"/>
      <c r="D7" s="215" t="inlineStr">
        <is>
          <t>DIRECT ATTAINMENT(DA)
CONTINUOUS LEARNING ASSESSMENT TESTS</t>
        </is>
      </c>
      <c r="E7" s="216" t="n"/>
      <c r="F7" s="216" t="n"/>
      <c r="G7" s="216" t="n"/>
      <c r="H7" s="216" t="n"/>
      <c r="I7" s="216" t="n"/>
      <c r="J7" s="216" t="n"/>
      <c r="K7" s="216" t="n"/>
      <c r="L7" s="216" t="n"/>
      <c r="M7" s="216" t="n"/>
      <c r="N7" s="216" t="n"/>
      <c r="O7" s="216" t="n"/>
      <c r="P7" s="216" t="n"/>
      <c r="Q7" s="216" t="n"/>
      <c r="R7" s="217" t="n"/>
      <c r="S7" s="50" t="inlineStr">
        <is>
          <t>INDIRECT ATTAINMENT
(IDA)</t>
        </is>
      </c>
      <c r="T7" s="218" t="inlineStr">
        <is>
          <t>OVERALL ATTAINMENT = (80%DA +20%IDA)</t>
        </is>
      </c>
      <c r="U7" s="27" t="n"/>
      <c r="V7" s="8" t="n"/>
      <c r="W7" s="8" t="n"/>
      <c r="X7" s="8" t="n"/>
      <c r="Y7" s="8" t="n"/>
      <c r="Z7" s="8" t="n"/>
    </row>
    <row r="8" ht="40.5" customHeight="1" s="1">
      <c r="A8" s="51" t="n"/>
      <c r="B8" s="52" t="n"/>
      <c r="C8" s="53" t="n"/>
      <c r="D8" s="215" t="inlineStr">
        <is>
          <t>CO1</t>
        </is>
      </c>
      <c r="E8" s="217" t="n"/>
      <c r="F8" s="215" t="inlineStr">
        <is>
          <t>CO2</t>
        </is>
      </c>
      <c r="G8" s="217" t="n"/>
      <c r="H8" s="215" t="inlineStr">
        <is>
          <t>CO3</t>
        </is>
      </c>
      <c r="I8" s="217" t="n"/>
      <c r="J8" s="215" t="inlineStr">
        <is>
          <t>CO4</t>
        </is>
      </c>
      <c r="K8" s="217" t="n"/>
      <c r="L8" s="215" t="inlineStr">
        <is>
          <t>CO5</t>
        </is>
      </c>
      <c r="M8" s="217" t="n"/>
      <c r="N8" s="215" t="inlineStr">
        <is>
          <t>CO6</t>
        </is>
      </c>
      <c r="O8" s="217" t="n"/>
      <c r="P8" s="215" t="inlineStr">
        <is>
          <t>UNIVERSITY RESULT (UR)</t>
        </is>
      </c>
      <c r="Q8" s="217" t="n"/>
      <c r="R8" s="218" t="inlineStr">
        <is>
          <t>TOTAL ATTAINMENT = (100%I)</t>
        </is>
      </c>
      <c r="S8" s="218" t="inlineStr">
        <is>
          <t>END OF COURSE SURVEY</t>
        </is>
      </c>
      <c r="T8" s="220" t="n"/>
      <c r="U8" s="27" t="n"/>
      <c r="V8" s="8" t="n"/>
      <c r="W8" s="8" t="n"/>
      <c r="X8" s="8" t="n"/>
      <c r="Y8" s="8" t="n"/>
      <c r="Z8" s="8" t="n"/>
    </row>
    <row r="9" ht="56.25" customHeight="1" s="1">
      <c r="A9" s="23" t="inlineStr">
        <is>
          <t>S. No</t>
        </is>
      </c>
      <c r="B9" s="24" t="inlineStr">
        <is>
          <t>Section</t>
        </is>
      </c>
      <c r="C9" s="23" t="inlineStr">
        <is>
          <t>Faculty Incharge</t>
        </is>
      </c>
      <c r="D9" s="50" t="inlineStr">
        <is>
          <t>SET TARGET</t>
        </is>
      </c>
      <c r="E9" s="50" t="inlineStr">
        <is>
          <t>ATTAINMENT LEVEL</t>
        </is>
      </c>
      <c r="F9" s="50" t="inlineStr">
        <is>
          <t>SET TARGET</t>
        </is>
      </c>
      <c r="G9" s="50" t="inlineStr">
        <is>
          <t>ATTAINMENT LEVEL</t>
        </is>
      </c>
      <c r="H9" s="50" t="inlineStr">
        <is>
          <t>SET TARGET</t>
        </is>
      </c>
      <c r="I9" s="50" t="inlineStr">
        <is>
          <t>ATTAINMENT LEVEL</t>
        </is>
      </c>
      <c r="J9" s="50" t="inlineStr">
        <is>
          <t>SET TARGET</t>
        </is>
      </c>
      <c r="K9" s="50" t="inlineStr">
        <is>
          <t>ATTAINMENT LEVEL</t>
        </is>
      </c>
      <c r="L9" s="50" t="inlineStr">
        <is>
          <t>SET TARGET</t>
        </is>
      </c>
      <c r="M9" s="50" t="inlineStr">
        <is>
          <t>ATTAINMENT LEVEL</t>
        </is>
      </c>
      <c r="N9" s="50" t="inlineStr">
        <is>
          <t>SET TARGET</t>
        </is>
      </c>
      <c r="O9" s="50" t="inlineStr">
        <is>
          <t>ATTAINMENT LEVEL</t>
        </is>
      </c>
      <c r="P9" s="50" t="inlineStr">
        <is>
          <t>SET TARGET</t>
        </is>
      </c>
      <c r="Q9" s="50" t="inlineStr">
        <is>
          <t>ATTAINMENT LEVEL</t>
        </is>
      </c>
      <c r="R9" s="219" t="n"/>
      <c r="S9" s="219" t="n"/>
      <c r="T9" s="219" t="n"/>
      <c r="U9" s="27" t="n"/>
      <c r="V9" s="8" t="n"/>
      <c r="W9" s="8" t="n"/>
      <c r="X9" s="8" t="n"/>
      <c r="Y9" s="8" t="n"/>
      <c r="Z9" s="8" t="n"/>
    </row>
    <row r="10" ht="31.5" customHeight="1" s="1">
      <c r="A10" s="59" t="n">
        <v>1</v>
      </c>
      <c r="B10" s="54" t="n"/>
      <c r="C10" s="54" t="n"/>
      <c r="D10" s="57" t="n"/>
      <c r="E10" s="57" t="n"/>
      <c r="F10" s="57" t="n"/>
      <c r="G10" s="57" t="n"/>
      <c r="H10" s="57" t="n"/>
      <c r="I10" s="57" t="n"/>
      <c r="J10" s="57" t="n"/>
      <c r="K10" s="57" t="n"/>
      <c r="L10" s="57" t="n"/>
      <c r="M10" s="57" t="n"/>
      <c r="N10" s="55" t="n"/>
      <c r="O10" s="55" t="n"/>
      <c r="P10" s="57" t="n"/>
      <c r="Q10" s="57" t="n"/>
      <c r="R10" s="57" t="n"/>
      <c r="S10" s="57" t="n"/>
      <c r="T10" s="57" t="n"/>
      <c r="U10" s="27" t="n"/>
      <c r="V10" s="8" t="n"/>
      <c r="W10" s="8" t="n"/>
      <c r="X10" s="8" t="n"/>
      <c r="Y10" s="8" t="n"/>
      <c r="Z10" s="8" t="n"/>
    </row>
    <row r="11" ht="22.5" customHeight="1" s="1">
      <c r="A11" s="59" t="n">
        <v>2</v>
      </c>
      <c r="B11" s="56" t="n"/>
      <c r="C11" s="56" t="n"/>
      <c r="D11" s="57" t="n"/>
      <c r="E11" s="57" t="n"/>
      <c r="F11" s="57" t="n"/>
      <c r="G11" s="57" t="n"/>
      <c r="H11" s="57" t="n"/>
      <c r="I11" s="57" t="n"/>
      <c r="J11" s="57" t="n"/>
      <c r="K11" s="57" t="n"/>
      <c r="L11" s="57" t="n"/>
      <c r="M11" s="57" t="n"/>
      <c r="N11" s="55" t="n"/>
      <c r="O11" s="55" t="n"/>
      <c r="P11" s="57" t="n"/>
      <c r="Q11" s="57" t="n"/>
      <c r="R11" s="57" t="n"/>
      <c r="S11" s="57" t="n"/>
      <c r="T11" s="57" t="n"/>
      <c r="U11" s="58" t="n"/>
      <c r="V11" s="8" t="n"/>
      <c r="W11" s="8" t="n"/>
      <c r="X11" s="8" t="n"/>
      <c r="Y11" s="8" t="n"/>
      <c r="Z11" s="8" t="n"/>
    </row>
    <row r="12" ht="30" customHeight="1" s="1">
      <c r="A12" s="59" t="n">
        <v>3</v>
      </c>
      <c r="B12" s="54" t="n"/>
      <c r="C12" s="54" t="n"/>
      <c r="D12" s="60" t="n"/>
      <c r="E12" s="60" t="n"/>
      <c r="F12" s="60" t="n"/>
      <c r="G12" s="60" t="n"/>
      <c r="H12" s="60" t="n"/>
      <c r="I12" s="60" t="n"/>
      <c r="J12" s="60" t="n"/>
      <c r="K12" s="60" t="n"/>
      <c r="L12" s="60" t="n"/>
      <c r="M12" s="60" t="n"/>
      <c r="N12" s="60" t="n"/>
      <c r="O12" s="60" t="n"/>
      <c r="P12" s="60" t="n"/>
      <c r="Q12" s="60" t="n"/>
      <c r="R12" s="60" t="n"/>
      <c r="S12" s="60" t="n"/>
      <c r="T12" s="60" t="n"/>
      <c r="U12" s="60" t="n"/>
      <c r="V12" s="27" t="n"/>
      <c r="W12" s="8" t="n"/>
      <c r="X12" s="8" t="n"/>
      <c r="Y12" s="8" t="n"/>
      <c r="Z12" s="8" t="n"/>
    </row>
    <row r="13" ht="24.75" customHeight="1" s="1">
      <c r="A13" s="59" t="n">
        <v>4</v>
      </c>
      <c r="B13" s="54" t="n"/>
      <c r="C13" s="54" t="n"/>
      <c r="D13" s="60" t="n"/>
      <c r="E13" s="60" t="n"/>
      <c r="F13" s="60" t="n"/>
      <c r="G13" s="60" t="n"/>
      <c r="H13" s="60" t="n"/>
      <c r="I13" s="60" t="n"/>
      <c r="J13" s="60" t="n"/>
      <c r="K13" s="60" t="n"/>
      <c r="L13" s="60" t="n"/>
      <c r="M13" s="60" t="n"/>
      <c r="N13" s="60" t="n"/>
      <c r="O13" s="60" t="n"/>
      <c r="P13" s="60" t="n"/>
      <c r="Q13" s="60" t="n"/>
      <c r="R13" s="60" t="n"/>
      <c r="S13" s="60" t="n"/>
      <c r="T13" s="60" t="n"/>
      <c r="U13" s="60" t="n"/>
      <c r="V13" s="27" t="n"/>
      <c r="W13" s="8" t="n"/>
      <c r="X13" s="8" t="n"/>
      <c r="Y13" s="8" t="n"/>
      <c r="Z13" s="8" t="n"/>
    </row>
    <row r="14" ht="27" customHeight="1" s="1">
      <c r="A14" s="59" t="n">
        <v>5</v>
      </c>
      <c r="B14" s="29" t="n"/>
      <c r="C14" s="30" t="n"/>
      <c r="D14" s="31" t="n"/>
      <c r="E14" s="60" t="n"/>
      <c r="F14" s="60" t="n"/>
      <c r="G14" s="60" t="n"/>
      <c r="H14" s="60" t="n"/>
      <c r="I14" s="60" t="n"/>
      <c r="J14" s="60" t="n"/>
      <c r="K14" s="60" t="n"/>
      <c r="L14" s="60" t="n"/>
      <c r="M14" s="60" t="n"/>
      <c r="N14" s="60" t="n"/>
      <c r="O14" s="60" t="n"/>
      <c r="P14" s="60" t="n"/>
      <c r="Q14" s="165" t="n"/>
      <c r="R14" s="60" t="n"/>
      <c r="S14" s="32" t="n"/>
      <c r="T14" s="61" t="n"/>
      <c r="U14" s="62" t="n"/>
      <c r="V14" s="8" t="n"/>
      <c r="W14" s="8" t="n"/>
      <c r="X14" s="8" t="n"/>
      <c r="Y14" s="8" t="n"/>
      <c r="Z14" s="8" t="n"/>
    </row>
    <row r="15" ht="19.5" customHeight="1" s="1">
      <c r="A15" s="59" t="n">
        <v>6</v>
      </c>
      <c r="B15" s="29" t="n"/>
      <c r="C15" s="30" t="n"/>
      <c r="D15" s="31" t="n"/>
      <c r="E15" s="60" t="n"/>
      <c r="F15" s="60" t="n"/>
      <c r="G15" s="60" t="n"/>
      <c r="H15" s="60" t="n"/>
      <c r="I15" s="60" t="n"/>
      <c r="J15" s="60" t="n"/>
      <c r="K15" s="60" t="n"/>
      <c r="L15" s="60" t="n"/>
      <c r="M15" s="60" t="n"/>
      <c r="N15" s="60" t="n"/>
      <c r="O15" s="60" t="n"/>
      <c r="P15" s="60" t="n"/>
      <c r="Q15" s="165" t="n"/>
      <c r="R15" s="60" t="n"/>
      <c r="S15" s="32" t="n"/>
      <c r="T15" s="61" t="n"/>
      <c r="U15" s="27" t="n"/>
      <c r="V15" s="8" t="n"/>
      <c r="W15" s="8" t="n"/>
      <c r="X15" s="8" t="n"/>
      <c r="Y15" s="8" t="n"/>
      <c r="Z15" s="8" t="n"/>
    </row>
    <row r="16" ht="26.25" customHeight="1" s="1">
      <c r="A16" s="59" t="n">
        <v>7</v>
      </c>
      <c r="B16" s="29" t="n"/>
      <c r="C16" s="30" t="n"/>
      <c r="D16" s="31" t="n"/>
      <c r="E16" s="60" t="n"/>
      <c r="F16" s="60" t="n"/>
      <c r="G16" s="60" t="n"/>
      <c r="H16" s="60" t="n"/>
      <c r="I16" s="60" t="n"/>
      <c r="J16" s="60" t="n"/>
      <c r="K16" s="60" t="n"/>
      <c r="L16" s="60" t="n"/>
      <c r="M16" s="60" t="n"/>
      <c r="N16" s="60" t="n"/>
      <c r="O16" s="60" t="n"/>
      <c r="P16" s="60" t="n"/>
      <c r="Q16" s="165" t="n"/>
      <c r="R16" s="60" t="n"/>
      <c r="S16" s="32" t="n"/>
      <c r="T16" s="61" t="n"/>
      <c r="U16" s="27" t="n"/>
      <c r="V16" s="8" t="n"/>
      <c r="W16" s="8" t="n"/>
      <c r="X16" s="8" t="n"/>
      <c r="Y16" s="8" t="n"/>
      <c r="Z16" s="8" t="n"/>
    </row>
    <row r="17" ht="30.75" customHeight="1" s="1">
      <c r="A17" s="33" t="n">
        <v>8</v>
      </c>
      <c r="B17" s="29" t="n"/>
      <c r="C17" s="30" t="n"/>
      <c r="D17" s="31" t="n"/>
      <c r="E17" s="60" t="n"/>
      <c r="F17" s="60" t="n"/>
      <c r="G17" s="60" t="n"/>
      <c r="H17" s="60" t="n"/>
      <c r="I17" s="60" t="n"/>
      <c r="J17" s="60" t="n"/>
      <c r="K17" s="60" t="n"/>
      <c r="L17" s="60" t="n"/>
      <c r="M17" s="60" t="n"/>
      <c r="N17" s="60" t="n"/>
      <c r="O17" s="60" t="n"/>
      <c r="P17" s="60" t="n"/>
      <c r="Q17" s="165" t="n"/>
      <c r="R17" s="60" t="n"/>
      <c r="S17" s="32" t="n"/>
      <c r="T17" s="31" t="n"/>
      <c r="U17" s="27" t="n"/>
      <c r="V17" s="8" t="n"/>
      <c r="W17" s="8" t="n"/>
      <c r="X17" s="8" t="n"/>
      <c r="Y17" s="8" t="n"/>
      <c r="Z17" s="8" t="n"/>
    </row>
    <row r="18" ht="23.25" customHeight="1" s="1">
      <c r="A18" s="35" t="n"/>
      <c r="B18" s="63" t="n"/>
      <c r="C18" s="64" t="inlineStr">
        <is>
          <t>AVERAGE</t>
        </is>
      </c>
      <c r="D18" s="57">
        <f>IFERROR(AVERAGE(D10:D17),0)</f>
        <v/>
      </c>
      <c r="E18" s="57">
        <f>IFERROR(AVERAGE(E10:E17),0)</f>
        <v/>
      </c>
      <c r="F18" s="57">
        <f>IFERROR(AVERAGE(F10:F17),0)</f>
        <v/>
      </c>
      <c r="G18" s="57">
        <f>IFERROR(AVERAGE(G10:G17),0)</f>
        <v/>
      </c>
      <c r="H18" s="57">
        <f>IFERROR(AVERAGE(H10:H17),0)</f>
        <v/>
      </c>
      <c r="I18" s="57">
        <f>IFERROR(AVERAGE(I10:I17),0)</f>
        <v/>
      </c>
      <c r="J18" s="57">
        <f>IFERROR(AVERAGE(J10:J17),0)</f>
        <v/>
      </c>
      <c r="K18" s="57">
        <f>IFERROR(AVERAGE(K10:K17),0)</f>
        <v/>
      </c>
      <c r="L18" s="57">
        <f>IFERROR(AVERAGE(L10:L17),0)</f>
        <v/>
      </c>
      <c r="M18" s="57">
        <f>IFERROR(AVERAGE(M10:M17),0)</f>
        <v/>
      </c>
      <c r="N18" s="57">
        <f>IFERROR(AVERAGE(N10:N17),0)</f>
        <v/>
      </c>
      <c r="O18" s="57">
        <f>IFERROR(AVERAGE(O10:O17),0)</f>
        <v/>
      </c>
      <c r="P18" s="57">
        <f>IFERROR(AVERAGE(P10:P17),0)</f>
        <v/>
      </c>
      <c r="Q18" s="57">
        <f>IFERROR(AVERAGE(Q10:Q17),0)</f>
        <v/>
      </c>
      <c r="R18" s="57">
        <f>IFERROR(AVERAGE(R10:R17),0)</f>
        <v/>
      </c>
      <c r="S18" s="57">
        <f>IFERROR(AVERAGE(S10:S17),0)</f>
        <v/>
      </c>
      <c r="T18" s="57">
        <f>IFERROR(AVERAGE(T10:T17),0)</f>
        <v/>
      </c>
      <c r="U18" s="27" t="n"/>
      <c r="V18" s="8" t="n"/>
      <c r="W18" s="8" t="n"/>
      <c r="X18" s="8" t="n"/>
      <c r="Y18" s="8" t="n"/>
      <c r="Z18" s="8" t="n"/>
    </row>
    <row r="19" ht="13.5" customHeight="1" s="1">
      <c r="A19" s="8" t="n"/>
      <c r="B19" s="15" t="n"/>
      <c r="C19" s="35" t="n"/>
      <c r="D19" s="35" t="n"/>
      <c r="E19" s="39" t="n"/>
      <c r="F19" s="39" t="n"/>
      <c r="G19" s="39" t="n"/>
      <c r="H19" s="39" t="n"/>
      <c r="I19" s="39" t="n"/>
      <c r="J19" s="40" t="n"/>
      <c r="K19" s="39" t="n"/>
      <c r="L19" s="39" t="n"/>
      <c r="M19" s="39" t="n"/>
      <c r="N19" s="39" t="n"/>
      <c r="O19" s="39" t="n"/>
      <c r="P19" s="35" t="n"/>
      <c r="Q19" s="35" t="n"/>
      <c r="R19" s="35" t="n"/>
      <c r="S19" s="35" t="n"/>
      <c r="T19" s="35" t="n"/>
      <c r="U19" s="8" t="n"/>
      <c r="V19" s="8" t="n"/>
      <c r="W19" s="8" t="n"/>
      <c r="X19" s="8" t="n"/>
      <c r="Y19" s="8" t="n"/>
      <c r="Z19" s="8" t="n"/>
    </row>
    <row r="20" ht="13.5" customHeight="1" s="1">
      <c r="A20" s="65" t="n"/>
      <c r="B20" s="15" t="n"/>
      <c r="C20" s="8" t="n"/>
      <c r="D20" s="8" t="n"/>
      <c r="E20" s="16" t="n"/>
      <c r="F20" s="16" t="n"/>
      <c r="G20" s="16" t="n"/>
      <c r="H20" s="16" t="n"/>
      <c r="I20" s="16" t="n"/>
      <c r="J20" s="17" t="n"/>
      <c r="K20" s="16" t="n"/>
      <c r="L20" s="16" t="n"/>
      <c r="M20" s="16" t="n"/>
      <c r="N20" s="16" t="n"/>
      <c r="O20" s="16" t="n"/>
      <c r="P20" s="8" t="n"/>
      <c r="Q20" s="8" t="n"/>
      <c r="R20" s="8" t="n"/>
      <c r="S20" s="8" t="n"/>
      <c r="T20" s="8" t="n"/>
      <c r="U20" s="8" t="n"/>
      <c r="V20" s="8" t="n"/>
      <c r="W20" s="8" t="n"/>
      <c r="X20" s="8" t="n"/>
      <c r="Y20" s="8" t="n"/>
      <c r="Z20" s="8" t="n"/>
    </row>
    <row r="21" ht="13.5" customHeight="1" s="1">
      <c r="A21" s="66" t="inlineStr">
        <is>
          <t>PO ATTAINMENT</t>
        </is>
      </c>
      <c r="B21" s="67" t="n"/>
      <c r="C21" s="20" t="n"/>
      <c r="D21" s="20" t="n"/>
      <c r="E21" s="21" t="n"/>
      <c r="F21" s="21" t="n"/>
      <c r="G21" s="21" t="n"/>
      <c r="H21" s="21" t="n"/>
      <c r="I21" s="21" t="n"/>
      <c r="J21" s="22" t="n"/>
      <c r="K21" s="21" t="n"/>
      <c r="L21" s="21" t="n"/>
      <c r="M21" s="21" t="n"/>
      <c r="N21" s="21" t="n"/>
      <c r="O21" s="21" t="n"/>
      <c r="P21" s="20" t="n"/>
      <c r="Q21" s="20" t="n"/>
      <c r="R21" s="20" t="n"/>
      <c r="S21" s="8" t="n"/>
      <c r="T21" s="8" t="n"/>
      <c r="U21" s="8" t="n"/>
      <c r="V21" s="8" t="n"/>
      <c r="W21" s="8" t="n"/>
      <c r="X21" s="8" t="n"/>
      <c r="Y21" s="8" t="n"/>
      <c r="Z21" s="8" t="n"/>
    </row>
    <row r="22" ht="26.25" customHeight="1" s="1">
      <c r="A22" s="23" t="inlineStr">
        <is>
          <t>S. No</t>
        </is>
      </c>
      <c r="B22" s="24" t="inlineStr">
        <is>
          <t>Section</t>
        </is>
      </c>
      <c r="C22" s="23" t="inlineStr">
        <is>
          <t>Faculty Incharge</t>
        </is>
      </c>
      <c r="D22" s="26" t="inlineStr">
        <is>
          <t>PO1</t>
        </is>
      </c>
      <c r="E22" s="26" t="inlineStr">
        <is>
          <t>PO2</t>
        </is>
      </c>
      <c r="F22" s="26" t="inlineStr">
        <is>
          <t>PO3</t>
        </is>
      </c>
      <c r="G22" s="26" t="inlineStr">
        <is>
          <t>PO4</t>
        </is>
      </c>
      <c r="H22" s="26" t="inlineStr">
        <is>
          <t>PO5</t>
        </is>
      </c>
      <c r="I22" s="26" t="inlineStr">
        <is>
          <t>PO6</t>
        </is>
      </c>
      <c r="J22" s="26" t="inlineStr">
        <is>
          <t>PO7</t>
        </is>
      </c>
      <c r="K22" s="26" t="inlineStr">
        <is>
          <t>PO8</t>
        </is>
      </c>
      <c r="L22" s="26" t="inlineStr">
        <is>
          <t>PO9</t>
        </is>
      </c>
      <c r="M22" s="26" t="inlineStr">
        <is>
          <t>PO10</t>
        </is>
      </c>
      <c r="N22" s="26" t="inlineStr">
        <is>
          <t>PO11</t>
        </is>
      </c>
      <c r="O22" s="26" t="inlineStr">
        <is>
          <t>PO12</t>
        </is>
      </c>
      <c r="P22" s="26" t="inlineStr">
        <is>
          <t>PSO1</t>
        </is>
      </c>
      <c r="Q22" s="26" t="inlineStr">
        <is>
          <t>PSO2</t>
        </is>
      </c>
      <c r="R22" s="26" t="inlineStr">
        <is>
          <t>PSO3</t>
        </is>
      </c>
      <c r="S22" s="27" t="n"/>
      <c r="T22" s="8" t="n"/>
      <c r="U22" s="8" t="n"/>
      <c r="V22" s="8" t="n"/>
      <c r="W22" s="8" t="n"/>
      <c r="X22" s="8" t="n"/>
      <c r="Y22" s="8" t="n"/>
      <c r="Z22" s="8" t="n"/>
    </row>
    <row r="23" ht="26.25" customHeight="1" s="1">
      <c r="A23" s="59" t="n">
        <v>1</v>
      </c>
      <c r="B23" s="54" t="n"/>
      <c r="C23" s="54" t="n"/>
      <c r="D23" s="68" t="n"/>
      <c r="E23" s="68" t="n"/>
      <c r="F23" s="68" t="n"/>
      <c r="G23" s="68" t="n"/>
      <c r="H23" s="68" t="n"/>
      <c r="I23" s="68" t="n"/>
      <c r="J23" s="68" t="n"/>
      <c r="K23" s="68" t="n"/>
      <c r="L23" s="68" t="n"/>
      <c r="M23" s="68" t="n"/>
      <c r="N23" s="68" t="n"/>
      <c r="O23" s="68" t="n"/>
      <c r="P23" s="68" t="n"/>
      <c r="Q23" s="68" t="n"/>
      <c r="R23" s="68" t="n"/>
      <c r="S23" s="27" t="n"/>
      <c r="T23" s="8" t="n"/>
      <c r="U23" s="8" t="n"/>
      <c r="V23" s="8" t="n"/>
      <c r="W23" s="8" t="n"/>
      <c r="X23" s="8" t="n"/>
      <c r="Y23" s="8" t="n"/>
      <c r="Z23" s="8" t="n"/>
    </row>
    <row r="24" ht="26.25" customHeight="1" s="1">
      <c r="A24" s="59" t="n">
        <v>2</v>
      </c>
      <c r="B24" s="56" t="n"/>
      <c r="C24" s="56" t="n"/>
      <c r="D24" s="68" t="n"/>
      <c r="E24" s="68" t="n"/>
      <c r="F24" s="68" t="n"/>
      <c r="G24" s="68" t="n"/>
      <c r="H24" s="68" t="n"/>
      <c r="I24" s="68" t="n"/>
      <c r="J24" s="68" t="n"/>
      <c r="K24" s="68" t="n"/>
      <c r="L24" s="68" t="n"/>
      <c r="M24" s="68" t="n"/>
      <c r="N24" s="68" t="n"/>
      <c r="O24" s="68" t="n"/>
      <c r="P24" s="68" t="n"/>
      <c r="Q24" s="68" t="n"/>
      <c r="R24" s="68" t="n"/>
      <c r="S24" s="27" t="n"/>
      <c r="T24" s="8" t="n"/>
      <c r="U24" s="8" t="n"/>
      <c r="V24" s="8" t="n"/>
      <c r="W24" s="8" t="n"/>
      <c r="X24" s="8" t="n"/>
      <c r="Y24" s="8" t="n"/>
      <c r="Z24" s="8" t="n"/>
    </row>
    <row r="25" ht="26.25" customHeight="1" s="1">
      <c r="A25" s="59" t="n">
        <v>3</v>
      </c>
      <c r="B25" s="54" t="n"/>
      <c r="C25" s="54" t="n"/>
      <c r="D25" s="68" t="n"/>
      <c r="E25" s="68" t="n"/>
      <c r="F25" s="68" t="n"/>
      <c r="G25" s="68" t="n"/>
      <c r="H25" s="68" t="n"/>
      <c r="I25" s="68" t="n"/>
      <c r="J25" s="68" t="n"/>
      <c r="K25" s="68" t="n"/>
      <c r="L25" s="68" t="n"/>
      <c r="M25" s="68" t="n"/>
      <c r="N25" s="68" t="n"/>
      <c r="O25" s="68" t="n"/>
      <c r="P25" s="68" t="n"/>
      <c r="Q25" s="68" t="n"/>
      <c r="R25" s="68" t="n"/>
      <c r="S25" s="27" t="n"/>
      <c r="T25" s="8" t="n"/>
      <c r="U25" s="8" t="n"/>
      <c r="V25" s="8" t="n"/>
      <c r="W25" s="8" t="n"/>
      <c r="X25" s="8" t="n"/>
      <c r="Y25" s="8" t="n"/>
      <c r="Z25" s="8" t="n"/>
    </row>
    <row r="26" ht="26.25" customHeight="1" s="1">
      <c r="A26" s="59" t="n">
        <v>4</v>
      </c>
      <c r="B26" s="54" t="n"/>
      <c r="C26" s="54" t="n"/>
      <c r="D26" s="68" t="n"/>
      <c r="E26" s="68" t="n"/>
      <c r="F26" s="68" t="n"/>
      <c r="G26" s="68" t="n"/>
      <c r="H26" s="68" t="n"/>
      <c r="I26" s="68" t="n"/>
      <c r="J26" s="68" t="n"/>
      <c r="K26" s="68" t="n"/>
      <c r="L26" s="68" t="n"/>
      <c r="M26" s="68" t="n"/>
      <c r="N26" s="68" t="n"/>
      <c r="O26" s="68" t="n"/>
      <c r="P26" s="68" t="n"/>
      <c r="Q26" s="68" t="n"/>
      <c r="R26" s="68" t="n"/>
      <c r="S26" s="27" t="n"/>
      <c r="T26" s="8" t="n"/>
      <c r="U26" s="8" t="n"/>
      <c r="V26" s="8" t="n"/>
      <c r="W26" s="8" t="n"/>
      <c r="X26" s="8" t="n"/>
      <c r="Y26" s="8" t="n"/>
      <c r="Z26" s="8" t="n"/>
    </row>
    <row r="27" ht="26.25" customHeight="1" s="1">
      <c r="A27" s="59" t="n">
        <v>5</v>
      </c>
      <c r="B27" s="29" t="n"/>
      <c r="C27" s="30" t="n"/>
      <c r="D27" s="31" t="n"/>
      <c r="E27" s="32" t="n"/>
      <c r="F27" s="32" t="n"/>
      <c r="G27" s="32" t="n"/>
      <c r="H27" s="32" t="n"/>
      <c r="I27" s="32" t="n"/>
      <c r="J27" s="165" t="n"/>
      <c r="K27" s="32" t="n"/>
      <c r="L27" s="32" t="n"/>
      <c r="M27" s="32" t="n"/>
      <c r="N27" s="32" t="n"/>
      <c r="O27" s="32" t="n"/>
      <c r="P27" s="31" t="n"/>
      <c r="Q27" s="31" t="n"/>
      <c r="R27" s="31" t="n"/>
      <c r="S27" s="27" t="n"/>
      <c r="T27" s="8" t="n"/>
      <c r="U27" s="8" t="n"/>
      <c r="V27" s="8" t="n"/>
      <c r="W27" s="8" t="n"/>
      <c r="X27" s="8" t="n"/>
      <c r="Y27" s="8" t="n"/>
      <c r="Z27" s="8" t="n"/>
    </row>
    <row r="28" ht="26.25" customHeight="1" s="1">
      <c r="A28" s="59" t="n">
        <v>6</v>
      </c>
      <c r="B28" s="29" t="n"/>
      <c r="C28" s="30" t="n"/>
      <c r="D28" s="31" t="n"/>
      <c r="E28" s="32" t="n"/>
      <c r="F28" s="32" t="n"/>
      <c r="G28" s="32" t="n"/>
      <c r="H28" s="32" t="n"/>
      <c r="I28" s="32" t="n"/>
      <c r="J28" s="165" t="n"/>
      <c r="K28" s="32" t="n"/>
      <c r="L28" s="32" t="n"/>
      <c r="M28" s="32" t="n"/>
      <c r="N28" s="32" t="n"/>
      <c r="O28" s="32" t="n"/>
      <c r="P28" s="31" t="n"/>
      <c r="Q28" s="31" t="n"/>
      <c r="R28" s="31" t="n"/>
      <c r="S28" s="27" t="n"/>
      <c r="T28" s="8" t="n"/>
      <c r="U28" s="8" t="n"/>
      <c r="V28" s="8" t="n"/>
      <c r="W28" s="8" t="n"/>
      <c r="X28" s="8" t="n"/>
      <c r="Y28" s="8" t="n"/>
      <c r="Z28" s="8" t="n"/>
    </row>
    <row r="29" ht="26.25" customHeight="1" s="1">
      <c r="A29" s="59" t="n">
        <v>7</v>
      </c>
      <c r="B29" s="29" t="n"/>
      <c r="C29" s="30" t="n"/>
      <c r="D29" s="31" t="n"/>
      <c r="E29" s="32" t="n"/>
      <c r="F29" s="32" t="n"/>
      <c r="G29" s="32" t="n"/>
      <c r="H29" s="32" t="n"/>
      <c r="I29" s="32" t="n"/>
      <c r="J29" s="165" t="n"/>
      <c r="K29" s="32" t="n"/>
      <c r="L29" s="32" t="n"/>
      <c r="M29" s="32" t="n"/>
      <c r="N29" s="32" t="n"/>
      <c r="O29" s="32" t="n"/>
      <c r="P29" s="31" t="n"/>
      <c r="Q29" s="31" t="n"/>
      <c r="R29" s="31" t="n"/>
      <c r="S29" s="27" t="n"/>
      <c r="T29" s="8" t="n"/>
      <c r="U29" s="8" t="n"/>
      <c r="V29" s="8" t="n"/>
      <c r="W29" s="8" t="n"/>
      <c r="X29" s="8" t="n"/>
      <c r="Y29" s="8" t="n"/>
      <c r="Z29" s="8" t="n"/>
    </row>
    <row r="30" ht="26.25" customHeight="1" s="1">
      <c r="A30" s="33" t="n">
        <v>8</v>
      </c>
      <c r="B30" s="29" t="n"/>
      <c r="C30" s="30" t="n"/>
      <c r="D30" s="31" t="n"/>
      <c r="E30" s="32" t="n"/>
      <c r="F30" s="32" t="n"/>
      <c r="G30" s="32" t="n"/>
      <c r="H30" s="32" t="n"/>
      <c r="I30" s="32" t="n"/>
      <c r="J30" s="165" t="n"/>
      <c r="K30" s="32" t="n"/>
      <c r="L30" s="32" t="n"/>
      <c r="M30" s="32" t="n"/>
      <c r="N30" s="32" t="n"/>
      <c r="O30" s="32" t="n"/>
      <c r="P30" s="31" t="n"/>
      <c r="Q30" s="31" t="n"/>
      <c r="R30" s="31" t="n"/>
      <c r="S30" s="27" t="n"/>
      <c r="T30" s="8" t="n"/>
      <c r="U30" s="8" t="n"/>
      <c r="V30" s="8" t="n"/>
      <c r="W30" s="8" t="n"/>
      <c r="X30" s="8" t="n"/>
      <c r="Y30" s="8" t="n"/>
      <c r="Z30" s="8" t="n"/>
    </row>
    <row r="31" ht="26.25" customHeight="1" s="1">
      <c r="A31" s="35" t="n"/>
      <c r="B31" s="63" t="n"/>
      <c r="C31" s="69" t="inlineStr">
        <is>
          <t>AVERAGE</t>
        </is>
      </c>
      <c r="D31" s="68">
        <f>IFERROR(AVERAGE(D23:D30),0)</f>
        <v/>
      </c>
      <c r="E31" s="68">
        <f>IFERROR(AVERAGE(E23:E30),0)</f>
        <v/>
      </c>
      <c r="F31" s="68">
        <f>IFERROR(AVERAGE(F23:F30),0)</f>
        <v/>
      </c>
      <c r="G31" s="68">
        <f>IFERROR(AVERAGE(G23:G30),0)</f>
        <v/>
      </c>
      <c r="H31" s="68">
        <f>IFERROR(AVERAGE(H23:H30),0)</f>
        <v/>
      </c>
      <c r="I31" s="68">
        <f>IFERROR(AVERAGE(I23:I30),0)</f>
        <v/>
      </c>
      <c r="J31" s="68">
        <f>IFERROR(AVERAGE(J23:J30),0)</f>
        <v/>
      </c>
      <c r="K31" s="68">
        <f>IFERROR(AVERAGE(K23:K30),0)</f>
        <v/>
      </c>
      <c r="L31" s="68">
        <f>IFERROR(AVERAGE(L23:L30),0)</f>
        <v/>
      </c>
      <c r="M31" s="68">
        <f>IFERROR(AVERAGE(M23:M30),0)</f>
        <v/>
      </c>
      <c r="N31" s="68">
        <f>IFERROR(AVERAGE(N23:N30),0)</f>
        <v/>
      </c>
      <c r="O31" s="68">
        <f>IFERROR(AVERAGE(O23:O30),0)</f>
        <v/>
      </c>
      <c r="P31" s="68">
        <f>IFERROR(AVERAGE(P23:P30),0)</f>
        <v/>
      </c>
      <c r="Q31" s="68">
        <f>IFERROR(AVERAGE(Q23:Q30),0)</f>
        <v/>
      </c>
      <c r="R31" s="68">
        <f>IFERROR(AVERAGE(R23:R30),0)</f>
        <v/>
      </c>
      <c r="S31" s="27" t="n"/>
      <c r="T31" s="8" t="n"/>
      <c r="U31" s="8" t="n"/>
      <c r="V31" s="8" t="n"/>
      <c r="W31" s="8" t="n"/>
      <c r="X31" s="8" t="n"/>
      <c r="Y31" s="8" t="n"/>
      <c r="Z31" s="8" t="n"/>
    </row>
    <row r="32" ht="13.5" customHeight="1" s="1">
      <c r="A32" s="8" t="n"/>
      <c r="B32" s="15" t="n"/>
      <c r="C32" s="35" t="n"/>
      <c r="D32" s="35" t="n"/>
      <c r="E32" s="39" t="n"/>
      <c r="F32" s="39" t="n"/>
      <c r="G32" s="39" t="n"/>
      <c r="H32" s="39" t="n"/>
      <c r="I32" s="39" t="n"/>
      <c r="J32" s="40" t="n"/>
      <c r="K32" s="39" t="n"/>
      <c r="L32" s="39" t="n"/>
      <c r="M32" s="39" t="n"/>
      <c r="N32" s="39" t="n"/>
      <c r="O32" s="39" t="n"/>
      <c r="P32" s="35" t="n"/>
      <c r="Q32" s="35" t="n"/>
      <c r="R32" s="35" t="n"/>
      <c r="S32" s="8" t="n"/>
      <c r="T32" s="8" t="n"/>
      <c r="U32" s="8" t="n"/>
      <c r="V32" s="8" t="n"/>
      <c r="W32" s="8" t="n"/>
      <c r="X32" s="8" t="n"/>
      <c r="Y32" s="8" t="n"/>
      <c r="Z32" s="8" t="n"/>
    </row>
    <row r="33" ht="13.5" customHeight="1" s="1">
      <c r="A33" s="8" t="n"/>
      <c r="B33" s="15" t="n"/>
      <c r="C33" s="8" t="n"/>
      <c r="D33" s="8" t="n"/>
      <c r="E33" s="16" t="n"/>
      <c r="F33" s="16" t="n"/>
      <c r="G33" s="16" t="n"/>
      <c r="H33" s="16" t="n"/>
      <c r="I33" s="16" t="n"/>
      <c r="J33" s="17" t="n"/>
      <c r="K33" s="16" t="n"/>
      <c r="L33" s="16" t="n"/>
      <c r="M33" s="16" t="n"/>
      <c r="N33" s="16" t="n"/>
      <c r="O33" s="16" t="n"/>
      <c r="P33" s="8" t="n"/>
      <c r="Q33" s="8" t="n"/>
      <c r="R33" s="8" t="n"/>
      <c r="S33" s="8" t="n"/>
      <c r="T33" s="8" t="n"/>
      <c r="U33" s="8" t="n"/>
      <c r="V33" s="8" t="n"/>
      <c r="W33" s="8" t="n"/>
      <c r="X33" s="8" t="n"/>
      <c r="Y33" s="8" t="n"/>
      <c r="Z33" s="8" t="n"/>
    </row>
    <row r="34" ht="13.5" customHeight="1" s="1">
      <c r="A34" s="8" t="n"/>
      <c r="B34" s="15" t="n"/>
      <c r="C34" s="8" t="n"/>
      <c r="D34" s="8" t="n"/>
      <c r="E34" s="16" t="n"/>
      <c r="F34" s="16" t="n"/>
      <c r="G34" s="16" t="n"/>
      <c r="H34" s="16" t="n"/>
      <c r="I34" s="16" t="n"/>
      <c r="J34" s="17" t="n"/>
      <c r="K34" s="16" t="n"/>
      <c r="L34" s="16" t="n"/>
      <c r="M34" s="16" t="n"/>
      <c r="N34" s="16" t="n"/>
      <c r="O34" s="16" t="n"/>
      <c r="P34" s="8" t="n"/>
      <c r="Q34" s="8" t="n"/>
      <c r="R34" s="8" t="n"/>
      <c r="S34" s="8" t="n"/>
      <c r="T34" s="8" t="n"/>
      <c r="U34" s="8" t="n"/>
      <c r="V34" s="8" t="n"/>
      <c r="W34" s="8" t="n"/>
      <c r="X34" s="8" t="n"/>
      <c r="Y34" s="8" t="n"/>
      <c r="Z34" s="8" t="n"/>
    </row>
    <row r="35" ht="13.5" customHeight="1" s="1">
      <c r="A35" s="8" t="n"/>
      <c r="B35" s="15" t="n"/>
      <c r="C35" s="8" t="n"/>
      <c r="D35" s="8" t="n"/>
      <c r="E35" s="16" t="n"/>
      <c r="F35" s="16" t="n"/>
      <c r="G35" s="16" t="n"/>
      <c r="H35" s="16" t="n"/>
      <c r="I35" s="16" t="n"/>
      <c r="J35" s="17" t="n"/>
      <c r="K35" s="16" t="n"/>
      <c r="L35" s="16" t="n"/>
      <c r="M35" s="16" t="n"/>
      <c r="N35" s="16" t="n"/>
      <c r="O35" s="16" t="n"/>
      <c r="P35" s="8" t="n"/>
      <c r="Q35" s="8" t="n"/>
      <c r="R35" s="8" t="n"/>
      <c r="S35" s="8" t="n"/>
      <c r="T35" s="8" t="n"/>
      <c r="U35" s="8" t="n"/>
      <c r="V35" s="8" t="n"/>
      <c r="W35" s="8" t="n"/>
      <c r="X35" s="8" t="n"/>
      <c r="Y35" s="8" t="n"/>
      <c r="Z35" s="8" t="n"/>
    </row>
    <row r="36" ht="13.5" customHeight="1" s="1">
      <c r="A36" s="8" t="n"/>
      <c r="B36" s="15" t="n"/>
      <c r="C36" s="8" t="n"/>
      <c r="D36" s="8" t="n"/>
      <c r="E36" s="16" t="n"/>
      <c r="F36" s="16" t="n"/>
      <c r="G36" s="16" t="n"/>
      <c r="H36" s="16" t="n"/>
      <c r="I36" s="16" t="n"/>
      <c r="J36" s="17" t="n"/>
      <c r="K36" s="16" t="n"/>
      <c r="L36" s="16" t="n"/>
      <c r="M36" s="16" t="n"/>
      <c r="N36" s="16" t="n"/>
      <c r="O36" s="16" t="n"/>
      <c r="P36" s="8" t="n"/>
      <c r="Q36" s="8" t="n"/>
      <c r="R36" s="8" t="n"/>
      <c r="S36" s="8" t="n"/>
      <c r="T36" s="8" t="n"/>
      <c r="U36" s="8" t="n"/>
      <c r="V36" s="8" t="n"/>
      <c r="W36" s="8" t="n"/>
      <c r="X36" s="8" t="n"/>
      <c r="Y36" s="8" t="n"/>
      <c r="Z36" s="8" t="n"/>
    </row>
    <row r="37" ht="13.5" customHeight="1" s="1">
      <c r="A37" s="8" t="n"/>
      <c r="B37" s="15" t="n"/>
      <c r="C37" s="8" t="n"/>
      <c r="D37" s="8" t="n"/>
      <c r="E37" s="16" t="n"/>
      <c r="F37" s="16" t="n"/>
      <c r="G37" s="16" t="n"/>
      <c r="H37" s="16" t="n"/>
      <c r="I37" s="16" t="n"/>
      <c r="J37" s="17" t="n"/>
      <c r="K37" s="16" t="n"/>
      <c r="L37" s="16" t="n"/>
      <c r="M37" s="16" t="n"/>
      <c r="N37" s="16" t="n"/>
      <c r="O37" s="16" t="n"/>
      <c r="P37" s="8" t="n"/>
      <c r="Q37" s="8" t="n"/>
      <c r="R37" s="8" t="n"/>
      <c r="S37" s="8" t="n"/>
      <c r="T37" s="8" t="n"/>
      <c r="U37" s="8" t="n"/>
      <c r="V37" s="8" t="n"/>
      <c r="W37" s="8" t="n"/>
      <c r="X37" s="8" t="n"/>
      <c r="Y37" s="8" t="n"/>
      <c r="Z37" s="8" t="n"/>
    </row>
    <row r="38" ht="13.5" customHeight="1" s="1">
      <c r="A38" s="8" t="n"/>
      <c r="B38" s="15" t="n"/>
      <c r="C38" s="8" t="n"/>
      <c r="D38" s="8" t="n"/>
      <c r="E38" s="16" t="n"/>
      <c r="F38" s="16" t="n"/>
      <c r="G38" s="16" t="n"/>
      <c r="H38" s="16" t="n"/>
      <c r="I38" s="16" t="n"/>
      <c r="J38" s="17" t="n"/>
      <c r="K38" s="16" t="n"/>
      <c r="L38" s="16" t="n"/>
      <c r="M38" s="16" t="n"/>
      <c r="N38" s="16" t="n"/>
      <c r="O38" s="16" t="n"/>
      <c r="P38" s="8" t="n"/>
      <c r="Q38" s="8" t="n"/>
      <c r="R38" s="8" t="n"/>
      <c r="S38" s="8" t="n"/>
      <c r="T38" s="8" t="n"/>
      <c r="U38" s="8" t="n"/>
      <c r="V38" s="8" t="n"/>
      <c r="W38" s="8" t="n"/>
      <c r="X38" s="8" t="n"/>
      <c r="Y38" s="8" t="n"/>
      <c r="Z38" s="8" t="n"/>
    </row>
    <row r="39" ht="13.5" customHeight="1" s="1">
      <c r="A39" s="8" t="n"/>
      <c r="B39" s="15" t="n"/>
      <c r="C39" s="8" t="n"/>
      <c r="D39" s="8" t="n"/>
      <c r="E39" s="16" t="n"/>
      <c r="F39" s="16" t="n"/>
      <c r="G39" s="16" t="n"/>
      <c r="H39" s="16" t="n"/>
      <c r="I39" s="16" t="n"/>
      <c r="J39" s="17" t="n"/>
      <c r="K39" s="16" t="n"/>
      <c r="L39" s="16" t="n"/>
      <c r="M39" s="16" t="n"/>
      <c r="N39" s="16" t="n"/>
      <c r="O39" s="16" t="n"/>
      <c r="P39" s="8" t="n"/>
      <c r="Q39" s="8" t="n"/>
      <c r="R39" s="8" t="n"/>
      <c r="S39" s="8" t="n"/>
      <c r="T39" s="8" t="n"/>
      <c r="U39" s="8" t="n"/>
      <c r="V39" s="8" t="n"/>
      <c r="W39" s="8" t="n"/>
      <c r="X39" s="8" t="n"/>
      <c r="Y39" s="8" t="n"/>
      <c r="Z39" s="8" t="n"/>
    </row>
    <row r="40" ht="13.5" customHeight="1" s="1">
      <c r="A40" s="8" t="n"/>
      <c r="B40" s="15" t="n"/>
      <c r="C40" s="8" t="n"/>
      <c r="D40" s="8" t="n"/>
      <c r="E40" s="16" t="n"/>
      <c r="F40" s="16" t="n"/>
      <c r="G40" s="16" t="n"/>
      <c r="H40" s="16" t="n"/>
      <c r="I40" s="16" t="n"/>
      <c r="J40" s="17" t="n"/>
      <c r="K40" s="16" t="n"/>
      <c r="L40" s="16" t="n"/>
      <c r="M40" s="16" t="n"/>
      <c r="N40" s="16" t="n"/>
      <c r="O40" s="16" t="n"/>
      <c r="P40" s="8" t="n"/>
      <c r="Q40" s="8" t="n"/>
      <c r="R40" s="8" t="n"/>
      <c r="S40" s="8" t="n"/>
      <c r="T40" s="8" t="n"/>
      <c r="U40" s="8" t="n"/>
      <c r="V40" s="8" t="n"/>
      <c r="W40" s="8" t="n"/>
      <c r="X40" s="8" t="n"/>
      <c r="Y40" s="8" t="n"/>
      <c r="Z40" s="8" t="n"/>
    </row>
    <row r="41" ht="13.5" customHeight="1" s="1">
      <c r="A41" s="8" t="n"/>
      <c r="B41" s="15" t="n"/>
      <c r="C41" s="8" t="n"/>
      <c r="D41" s="8" t="n"/>
      <c r="E41" s="16" t="n"/>
      <c r="F41" s="16" t="n"/>
      <c r="G41" s="16" t="n"/>
      <c r="H41" s="16" t="n"/>
      <c r="I41" s="16" t="n"/>
      <c r="J41" s="17" t="n"/>
      <c r="K41" s="16" t="n"/>
      <c r="L41" s="16" t="n"/>
      <c r="M41" s="16" t="n"/>
      <c r="N41" s="16" t="n"/>
      <c r="O41" s="16" t="n"/>
      <c r="P41" s="8" t="n"/>
      <c r="Q41" s="8" t="n"/>
      <c r="R41" s="8" t="n"/>
      <c r="S41" s="8" t="n"/>
      <c r="T41" s="8" t="n"/>
      <c r="U41" s="8" t="n"/>
      <c r="V41" s="8" t="n"/>
      <c r="W41" s="8" t="n"/>
      <c r="X41" s="8" t="n"/>
      <c r="Y41" s="8" t="n"/>
      <c r="Z41" s="8" t="n"/>
    </row>
    <row r="42" ht="13.5" customHeight="1" s="1">
      <c r="A42" s="8" t="n"/>
      <c r="B42" s="15" t="n"/>
      <c r="C42" s="8" t="n"/>
      <c r="D42" s="8" t="n"/>
      <c r="E42" s="16" t="n"/>
      <c r="F42" s="16" t="n"/>
      <c r="G42" s="16" t="n"/>
      <c r="H42" s="16" t="n"/>
      <c r="I42" s="16" t="n"/>
      <c r="J42" s="17" t="n"/>
      <c r="K42" s="16" t="n"/>
      <c r="L42" s="16" t="n"/>
      <c r="M42" s="16" t="n"/>
      <c r="N42" s="16" t="n"/>
      <c r="O42" s="16" t="n"/>
      <c r="P42" s="8" t="n"/>
      <c r="Q42" s="8" t="n"/>
      <c r="R42" s="8" t="n"/>
      <c r="S42" s="8" t="n"/>
      <c r="T42" s="8" t="n"/>
      <c r="U42" s="8" t="n"/>
      <c r="V42" s="8" t="n"/>
      <c r="W42" s="8" t="n"/>
      <c r="X42" s="8" t="n"/>
      <c r="Y42" s="8" t="n"/>
      <c r="Z42" s="8" t="n"/>
    </row>
    <row r="43" ht="13.5" customHeight="1" s="1">
      <c r="A43" s="8" t="n"/>
      <c r="B43" s="15" t="n"/>
      <c r="C43" s="8" t="n"/>
      <c r="D43" s="8" t="n"/>
      <c r="E43" s="16" t="n"/>
      <c r="F43" s="16" t="n"/>
      <c r="G43" s="16" t="n"/>
      <c r="H43" s="16" t="n"/>
      <c r="I43" s="16" t="n"/>
      <c r="J43" s="17" t="n"/>
      <c r="K43" s="16" t="n"/>
      <c r="L43" s="16" t="n"/>
      <c r="M43" s="16" t="n"/>
      <c r="N43" s="16" t="n"/>
      <c r="O43" s="16" t="n"/>
      <c r="P43" s="8" t="n"/>
      <c r="Q43" s="8" t="n"/>
      <c r="R43" s="8" t="n"/>
      <c r="S43" s="8" t="n"/>
      <c r="T43" s="8" t="n"/>
      <c r="U43" s="8" t="n"/>
      <c r="V43" s="8" t="n"/>
      <c r="W43" s="8" t="n"/>
      <c r="X43" s="8" t="n"/>
      <c r="Y43" s="8" t="n"/>
      <c r="Z43" s="8" t="n"/>
    </row>
    <row r="44" ht="13.5" customHeight="1" s="1">
      <c r="A44" s="8" t="n"/>
      <c r="B44" s="15" t="n"/>
      <c r="C44" s="8" t="n"/>
      <c r="D44" s="8" t="n"/>
      <c r="E44" s="16" t="n"/>
      <c r="F44" s="16" t="n"/>
      <c r="G44" s="16" t="n"/>
      <c r="H44" s="16" t="n"/>
      <c r="I44" s="16" t="n"/>
      <c r="J44" s="17" t="n"/>
      <c r="K44" s="16" t="n"/>
      <c r="L44" s="16" t="n"/>
      <c r="M44" s="16" t="n"/>
      <c r="N44" s="16" t="n"/>
      <c r="O44" s="16" t="n"/>
      <c r="P44" s="8" t="n"/>
      <c r="Q44" s="8" t="n"/>
      <c r="R44" s="8" t="n"/>
      <c r="S44" s="8" t="n"/>
      <c r="T44" s="8" t="n"/>
      <c r="U44" s="8" t="n"/>
      <c r="V44" s="8" t="n"/>
      <c r="W44" s="8" t="n"/>
      <c r="X44" s="8" t="n"/>
      <c r="Y44" s="8" t="n"/>
      <c r="Z44" s="8" t="n"/>
    </row>
    <row r="45" ht="13.5" customHeight="1" s="1">
      <c r="A45" s="8" t="n"/>
      <c r="B45" s="15" t="n"/>
      <c r="C45" s="8" t="n"/>
      <c r="D45" s="8" t="n"/>
      <c r="E45" s="16" t="n"/>
      <c r="F45" s="16" t="n"/>
      <c r="G45" s="16" t="n"/>
      <c r="H45" s="16" t="n"/>
      <c r="I45" s="16" t="n"/>
      <c r="J45" s="17" t="n"/>
      <c r="K45" s="16" t="n"/>
      <c r="L45" s="16" t="n"/>
      <c r="M45" s="16" t="n"/>
      <c r="N45" s="16" t="n"/>
      <c r="O45" s="16" t="n"/>
      <c r="P45" s="8" t="n"/>
      <c r="Q45" s="8" t="n"/>
      <c r="R45" s="8" t="n"/>
      <c r="S45" s="8" t="n"/>
      <c r="T45" s="8" t="n"/>
      <c r="U45" s="8" t="n"/>
      <c r="V45" s="8" t="n"/>
      <c r="W45" s="8" t="n"/>
      <c r="X45" s="8" t="n"/>
      <c r="Y45" s="8" t="n"/>
      <c r="Z45" s="8" t="n"/>
    </row>
    <row r="46" ht="13.5" customHeight="1" s="1">
      <c r="A46" s="8" t="n"/>
      <c r="B46" s="15" t="n"/>
      <c r="C46" s="8" t="n"/>
      <c r="D46" s="8" t="n"/>
      <c r="E46" s="16" t="n"/>
      <c r="F46" s="16" t="n"/>
      <c r="G46" s="16" t="n"/>
      <c r="H46" s="16" t="n"/>
      <c r="I46" s="16" t="n"/>
      <c r="J46" s="17" t="n"/>
      <c r="K46" s="16" t="n"/>
      <c r="L46" s="16" t="n"/>
      <c r="M46" s="16" t="n"/>
      <c r="N46" s="16" t="n"/>
      <c r="O46" s="16" t="n"/>
      <c r="P46" s="8" t="n"/>
      <c r="Q46" s="8" t="n"/>
      <c r="R46" s="8" t="n"/>
      <c r="S46" s="8" t="n"/>
      <c r="T46" s="8" t="n"/>
      <c r="U46" s="8" t="n"/>
      <c r="V46" s="8" t="n"/>
      <c r="W46" s="8" t="n"/>
      <c r="X46" s="8" t="n"/>
      <c r="Y46" s="8" t="n"/>
      <c r="Z46" s="8" t="n"/>
    </row>
    <row r="47" ht="13.5" customHeight="1" s="1">
      <c r="A47" s="8" t="n"/>
      <c r="B47" s="15" t="n"/>
      <c r="C47" s="8" t="n"/>
      <c r="D47" s="8" t="n"/>
      <c r="E47" s="16" t="n"/>
      <c r="F47" s="16" t="n"/>
      <c r="G47" s="16" t="n"/>
      <c r="H47" s="16" t="n"/>
      <c r="I47" s="16" t="n"/>
      <c r="J47" s="17" t="n"/>
      <c r="K47" s="16" t="n"/>
      <c r="L47" s="16" t="n"/>
      <c r="M47" s="16" t="n"/>
      <c r="N47" s="16" t="n"/>
      <c r="O47" s="16" t="n"/>
      <c r="P47" s="8" t="n"/>
      <c r="Q47" s="8" t="n"/>
      <c r="R47" s="8" t="n"/>
      <c r="S47" s="8" t="n"/>
      <c r="T47" s="8" t="n"/>
      <c r="U47" s="8" t="n"/>
      <c r="V47" s="8" t="n"/>
      <c r="W47" s="8" t="n"/>
      <c r="X47" s="8" t="n"/>
      <c r="Y47" s="8" t="n"/>
      <c r="Z47" s="8" t="n"/>
    </row>
    <row r="48" ht="13.5" customHeight="1" s="1">
      <c r="A48" s="8" t="n"/>
      <c r="B48" s="15" t="n"/>
      <c r="C48" s="8" t="n"/>
      <c r="D48" s="8" t="n"/>
      <c r="E48" s="16" t="n"/>
      <c r="F48" s="16" t="n"/>
      <c r="G48" s="16" t="n"/>
      <c r="H48" s="16" t="n"/>
      <c r="I48" s="16" t="n"/>
      <c r="J48" s="17" t="n"/>
      <c r="K48" s="16" t="n"/>
      <c r="L48" s="16" t="n"/>
      <c r="M48" s="16" t="n"/>
      <c r="N48" s="16" t="n"/>
      <c r="O48" s="16" t="n"/>
      <c r="P48" s="8" t="n"/>
      <c r="Q48" s="8" t="n"/>
      <c r="R48" s="8" t="n"/>
      <c r="S48" s="8" t="n"/>
      <c r="T48" s="8" t="n"/>
      <c r="U48" s="8" t="n"/>
      <c r="V48" s="8" t="n"/>
      <c r="W48" s="8" t="n"/>
      <c r="X48" s="8" t="n"/>
      <c r="Y48" s="8" t="n"/>
      <c r="Z48" s="8" t="n"/>
    </row>
    <row r="49" ht="13.5" customHeight="1" s="1">
      <c r="A49" s="8" t="n"/>
      <c r="B49" s="15" t="n"/>
      <c r="C49" s="8" t="n"/>
      <c r="D49" s="8" t="n"/>
      <c r="E49" s="16" t="n"/>
      <c r="F49" s="16" t="n"/>
      <c r="G49" s="16" t="n"/>
      <c r="H49" s="16" t="n"/>
      <c r="I49" s="16" t="n"/>
      <c r="J49" s="17" t="n"/>
      <c r="K49" s="16" t="n"/>
      <c r="L49" s="16" t="n"/>
      <c r="M49" s="16" t="n"/>
      <c r="N49" s="16" t="n"/>
      <c r="O49" s="16" t="n"/>
      <c r="P49" s="8" t="n"/>
      <c r="Q49" s="8" t="n"/>
      <c r="R49" s="8" t="n"/>
      <c r="S49" s="8" t="n"/>
      <c r="T49" s="8" t="n"/>
      <c r="U49" s="8" t="n"/>
      <c r="V49" s="8" t="n"/>
      <c r="W49" s="8" t="n"/>
      <c r="X49" s="8" t="n"/>
      <c r="Y49" s="8" t="n"/>
      <c r="Z49" s="8" t="n"/>
    </row>
    <row r="50" ht="13.5" customHeight="1" s="1">
      <c r="A50" s="8" t="n"/>
      <c r="B50" s="15" t="n"/>
      <c r="C50" s="8" t="n"/>
      <c r="D50" s="8" t="n"/>
      <c r="E50" s="16" t="n"/>
      <c r="F50" s="16" t="n"/>
      <c r="G50" s="16" t="n"/>
      <c r="H50" s="16" t="n"/>
      <c r="I50" s="16" t="n"/>
      <c r="J50" s="17" t="n"/>
      <c r="K50" s="16" t="n"/>
      <c r="L50" s="16" t="n"/>
      <c r="M50" s="16" t="n"/>
      <c r="N50" s="16" t="n"/>
      <c r="O50" s="16" t="n"/>
      <c r="P50" s="8" t="n"/>
      <c r="Q50" s="8" t="n"/>
      <c r="R50" s="8" t="n"/>
      <c r="S50" s="8" t="n"/>
      <c r="T50" s="8" t="n"/>
      <c r="U50" s="8" t="n"/>
      <c r="V50" s="8" t="n"/>
      <c r="W50" s="8" t="n"/>
      <c r="X50" s="8" t="n"/>
      <c r="Y50" s="8" t="n"/>
      <c r="Z50" s="8" t="n"/>
    </row>
    <row r="51" ht="13.5" customHeight="1" s="1">
      <c r="A51" s="8" t="n"/>
      <c r="B51" s="15" t="n"/>
      <c r="C51" s="8" t="n"/>
      <c r="D51" s="8" t="n"/>
      <c r="E51" s="16" t="n"/>
      <c r="F51" s="16" t="n"/>
      <c r="G51" s="16" t="n"/>
      <c r="H51" s="16" t="n"/>
      <c r="I51" s="16" t="n"/>
      <c r="J51" s="17" t="n"/>
      <c r="K51" s="16" t="n"/>
      <c r="L51" s="16" t="n"/>
      <c r="M51" s="16" t="n"/>
      <c r="N51" s="16" t="n"/>
      <c r="O51" s="16" t="n"/>
      <c r="P51" s="8" t="n"/>
      <c r="Q51" s="8" t="n"/>
      <c r="R51" s="8" t="n"/>
      <c r="S51" s="8" t="n"/>
      <c r="T51" s="8" t="n"/>
      <c r="U51" s="8" t="n"/>
      <c r="V51" s="8" t="n"/>
      <c r="W51" s="8" t="n"/>
      <c r="X51" s="8" t="n"/>
      <c r="Y51" s="8" t="n"/>
      <c r="Z51" s="8" t="n"/>
    </row>
    <row r="52" ht="13.5" customHeight="1" s="1">
      <c r="A52" s="8" t="n"/>
      <c r="B52" s="15" t="n"/>
      <c r="C52" s="8" t="n"/>
      <c r="D52" s="8" t="n"/>
      <c r="E52" s="16" t="n"/>
      <c r="F52" s="16" t="n"/>
      <c r="G52" s="16" t="n"/>
      <c r="H52" s="16" t="n"/>
      <c r="I52" s="16" t="n"/>
      <c r="J52" s="17" t="n"/>
      <c r="K52" s="16" t="n"/>
      <c r="L52" s="16" t="n"/>
      <c r="M52" s="16" t="n"/>
      <c r="N52" s="16" t="n"/>
      <c r="O52" s="16" t="n"/>
      <c r="P52" s="8" t="n"/>
      <c r="Q52" s="8" t="n"/>
      <c r="R52" s="8" t="n"/>
      <c r="S52" s="8" t="n"/>
      <c r="T52" s="8" t="n"/>
      <c r="U52" s="8" t="n"/>
      <c r="V52" s="8" t="n"/>
      <c r="W52" s="8" t="n"/>
      <c r="X52" s="8" t="n"/>
      <c r="Y52" s="8" t="n"/>
      <c r="Z52" s="8" t="n"/>
    </row>
    <row r="53" ht="13.5" customHeight="1" s="1">
      <c r="A53" s="8" t="n"/>
      <c r="B53" s="15" t="n"/>
      <c r="C53" s="8" t="n"/>
      <c r="D53" s="8" t="n"/>
      <c r="E53" s="16" t="n"/>
      <c r="F53" s="16" t="n"/>
      <c r="G53" s="16" t="n"/>
      <c r="H53" s="16" t="n"/>
      <c r="I53" s="16" t="n"/>
      <c r="J53" s="17" t="n"/>
      <c r="K53" s="16" t="n"/>
      <c r="L53" s="16" t="n"/>
      <c r="M53" s="16" t="n"/>
      <c r="N53" s="16" t="n"/>
      <c r="O53" s="16" t="n"/>
      <c r="P53" s="8" t="n"/>
      <c r="Q53" s="8" t="n"/>
      <c r="R53" s="8" t="n"/>
      <c r="S53" s="8" t="n"/>
      <c r="T53" s="8" t="n"/>
      <c r="U53" s="8" t="n"/>
      <c r="V53" s="8" t="n"/>
      <c r="W53" s="8" t="n"/>
      <c r="X53" s="8" t="n"/>
      <c r="Y53" s="8" t="n"/>
      <c r="Z53" s="8" t="n"/>
    </row>
    <row r="54" ht="13.5" customHeight="1" s="1">
      <c r="A54" s="8" t="n"/>
      <c r="B54" s="15" t="n"/>
      <c r="C54" s="8" t="n"/>
      <c r="D54" s="8" t="n"/>
      <c r="E54" s="16" t="n"/>
      <c r="F54" s="16" t="n"/>
      <c r="G54" s="16" t="n"/>
      <c r="H54" s="16" t="n"/>
      <c r="I54" s="16" t="n"/>
      <c r="J54" s="17" t="n"/>
      <c r="K54" s="16" t="n"/>
      <c r="L54" s="16" t="n"/>
      <c r="M54" s="16" t="n"/>
      <c r="N54" s="16" t="n"/>
      <c r="O54" s="16" t="n"/>
      <c r="P54" s="8" t="n"/>
      <c r="Q54" s="8" t="n"/>
      <c r="R54" s="8" t="n"/>
      <c r="S54" s="8" t="n"/>
      <c r="T54" s="8" t="n"/>
      <c r="U54" s="8" t="n"/>
      <c r="V54" s="8" t="n"/>
      <c r="W54" s="8" t="n"/>
      <c r="X54" s="8" t="n"/>
      <c r="Y54" s="8" t="n"/>
      <c r="Z54" s="8" t="n"/>
    </row>
    <row r="55" ht="13.5" customHeight="1" s="1">
      <c r="A55" s="8" t="n"/>
      <c r="B55" s="15" t="n"/>
      <c r="C55" s="8" t="n"/>
      <c r="D55" s="8" t="n"/>
      <c r="E55" s="16" t="n"/>
      <c r="F55" s="16" t="n"/>
      <c r="G55" s="16" t="n"/>
      <c r="H55" s="16" t="n"/>
      <c r="I55" s="16" t="n"/>
      <c r="J55" s="17" t="n"/>
      <c r="K55" s="16" t="n"/>
      <c r="L55" s="16" t="n"/>
      <c r="M55" s="16" t="n"/>
      <c r="N55" s="16" t="n"/>
      <c r="O55" s="16" t="n"/>
      <c r="P55" s="8" t="n"/>
      <c r="Q55" s="8" t="n"/>
      <c r="R55" s="8" t="n"/>
      <c r="S55" s="8" t="n"/>
      <c r="T55" s="8" t="n"/>
      <c r="U55" s="8" t="n"/>
      <c r="V55" s="8" t="n"/>
      <c r="W55" s="8" t="n"/>
      <c r="X55" s="8" t="n"/>
      <c r="Y55" s="8" t="n"/>
      <c r="Z55" s="8" t="n"/>
    </row>
    <row r="56" ht="13.5" customHeight="1" s="1">
      <c r="A56" s="8" t="n"/>
      <c r="B56" s="15" t="n"/>
      <c r="C56" s="8" t="n"/>
      <c r="D56" s="8" t="n"/>
      <c r="E56" s="16" t="n"/>
      <c r="F56" s="16" t="n"/>
      <c r="G56" s="16" t="n"/>
      <c r="H56" s="16" t="n"/>
      <c r="I56" s="16" t="n"/>
      <c r="J56" s="17" t="n"/>
      <c r="K56" s="16" t="n"/>
      <c r="L56" s="16" t="n"/>
      <c r="M56" s="16" t="n"/>
      <c r="N56" s="16" t="n"/>
      <c r="O56" s="16" t="n"/>
      <c r="P56" s="8" t="n"/>
      <c r="Q56" s="8" t="n"/>
      <c r="R56" s="8" t="n"/>
      <c r="S56" s="8" t="n"/>
      <c r="T56" s="8" t="n"/>
      <c r="U56" s="8" t="n"/>
      <c r="V56" s="8" t="n"/>
      <c r="W56" s="8" t="n"/>
      <c r="X56" s="8" t="n"/>
      <c r="Y56" s="8" t="n"/>
      <c r="Z56" s="8" t="n"/>
    </row>
    <row r="57" ht="13.5" customHeight="1" s="1">
      <c r="A57" s="8" t="n"/>
      <c r="B57" s="15" t="n"/>
      <c r="C57" s="8" t="n"/>
      <c r="D57" s="8" t="n"/>
      <c r="E57" s="16" t="n"/>
      <c r="F57" s="16" t="n"/>
      <c r="G57" s="16" t="n"/>
      <c r="H57" s="16" t="n"/>
      <c r="I57" s="16" t="n"/>
      <c r="J57" s="17" t="n"/>
      <c r="K57" s="16" t="n"/>
      <c r="L57" s="16" t="n"/>
      <c r="M57" s="16" t="n"/>
      <c r="N57" s="16" t="n"/>
      <c r="O57" s="16" t="n"/>
      <c r="P57" s="8" t="n"/>
      <c r="Q57" s="8" t="n"/>
      <c r="R57" s="8" t="n"/>
      <c r="S57" s="8" t="n"/>
      <c r="T57" s="8" t="n"/>
      <c r="U57" s="8" t="n"/>
      <c r="V57" s="8" t="n"/>
      <c r="W57" s="8" t="n"/>
      <c r="X57" s="8" t="n"/>
      <c r="Y57" s="8" t="n"/>
      <c r="Z57" s="8" t="n"/>
    </row>
    <row r="58" ht="13.5" customHeight="1" s="1">
      <c r="A58" s="8" t="n"/>
      <c r="B58" s="15" t="n"/>
      <c r="C58" s="8" t="n"/>
      <c r="D58" s="8" t="n"/>
      <c r="E58" s="16" t="n"/>
      <c r="F58" s="16" t="n"/>
      <c r="G58" s="16" t="n"/>
      <c r="H58" s="16" t="n"/>
      <c r="I58" s="16" t="n"/>
      <c r="J58" s="17" t="n"/>
      <c r="K58" s="16" t="n"/>
      <c r="L58" s="16" t="n"/>
      <c r="M58" s="16" t="n"/>
      <c r="N58" s="16" t="n"/>
      <c r="O58" s="16" t="n"/>
      <c r="P58" s="8" t="n"/>
      <c r="Q58" s="8" t="n"/>
      <c r="R58" s="8" t="n"/>
      <c r="S58" s="8" t="n"/>
      <c r="T58" s="8" t="n"/>
      <c r="U58" s="8" t="n"/>
      <c r="V58" s="8" t="n"/>
      <c r="W58" s="8" t="n"/>
      <c r="X58" s="8" t="n"/>
      <c r="Y58" s="8" t="n"/>
      <c r="Z58" s="8" t="n"/>
    </row>
    <row r="59" ht="13.5" customHeight="1" s="1">
      <c r="A59" s="8" t="n"/>
      <c r="B59" s="15" t="n"/>
      <c r="C59" s="8" t="n"/>
      <c r="D59" s="8" t="n"/>
      <c r="E59" s="16" t="n"/>
      <c r="F59" s="16" t="n"/>
      <c r="G59" s="16" t="n"/>
      <c r="H59" s="16" t="n"/>
      <c r="I59" s="16" t="n"/>
      <c r="J59" s="17" t="n"/>
      <c r="K59" s="16" t="n"/>
      <c r="L59" s="16" t="n"/>
      <c r="M59" s="16" t="n"/>
      <c r="N59" s="16" t="n"/>
      <c r="O59" s="16" t="n"/>
      <c r="P59" s="8" t="n"/>
      <c r="Q59" s="8" t="n"/>
      <c r="R59" s="8" t="n"/>
      <c r="S59" s="8" t="n"/>
      <c r="T59" s="8" t="n"/>
      <c r="U59" s="8" t="n"/>
      <c r="V59" s="8" t="n"/>
      <c r="W59" s="8" t="n"/>
      <c r="X59" s="8" t="n"/>
      <c r="Y59" s="8" t="n"/>
      <c r="Z59" s="8" t="n"/>
    </row>
    <row r="60" ht="13.5" customHeight="1" s="1">
      <c r="A60" s="8" t="n"/>
      <c r="B60" s="15" t="n"/>
      <c r="C60" s="8" t="n"/>
      <c r="D60" s="8" t="n"/>
      <c r="E60" s="16" t="n"/>
      <c r="F60" s="16" t="n"/>
      <c r="G60" s="16" t="n"/>
      <c r="H60" s="16" t="n"/>
      <c r="I60" s="16" t="n"/>
      <c r="J60" s="17" t="n"/>
      <c r="K60" s="16" t="n"/>
      <c r="L60" s="16" t="n"/>
      <c r="M60" s="16" t="n"/>
      <c r="N60" s="16" t="n"/>
      <c r="O60" s="16" t="n"/>
      <c r="P60" s="8" t="n"/>
      <c r="Q60" s="8" t="n"/>
      <c r="R60" s="8" t="n"/>
      <c r="S60" s="8" t="n"/>
      <c r="T60" s="8" t="n"/>
      <c r="U60" s="8" t="n"/>
      <c r="V60" s="8" t="n"/>
      <c r="W60" s="8" t="n"/>
      <c r="X60" s="8" t="n"/>
      <c r="Y60" s="8" t="n"/>
      <c r="Z60" s="8" t="n"/>
    </row>
    <row r="61" ht="13.5" customHeight="1" s="1">
      <c r="A61" s="8" t="n"/>
      <c r="B61" s="15" t="n"/>
      <c r="C61" s="8" t="n"/>
      <c r="D61" s="8" t="n"/>
      <c r="E61" s="16" t="n"/>
      <c r="F61" s="16" t="n"/>
      <c r="G61" s="16" t="n"/>
      <c r="H61" s="16" t="n"/>
      <c r="I61" s="16" t="n"/>
      <c r="J61" s="17" t="n"/>
      <c r="K61" s="16" t="n"/>
      <c r="L61" s="16" t="n"/>
      <c r="M61" s="16" t="n"/>
      <c r="N61" s="16" t="n"/>
      <c r="O61" s="16" t="n"/>
      <c r="P61" s="8" t="n"/>
      <c r="Q61" s="8" t="n"/>
      <c r="R61" s="8" t="n"/>
      <c r="S61" s="8" t="n"/>
      <c r="T61" s="8" t="n"/>
      <c r="U61" s="8" t="n"/>
      <c r="V61" s="8" t="n"/>
      <c r="W61" s="8" t="n"/>
      <c r="X61" s="8" t="n"/>
      <c r="Y61" s="8" t="n"/>
      <c r="Z61" s="8" t="n"/>
    </row>
    <row r="62" ht="13.5" customHeight="1" s="1">
      <c r="A62" s="8" t="n"/>
      <c r="B62" s="15" t="n"/>
      <c r="C62" s="8" t="n"/>
      <c r="D62" s="8" t="n"/>
      <c r="E62" s="16" t="n"/>
      <c r="F62" s="16" t="n"/>
      <c r="G62" s="16" t="n"/>
      <c r="H62" s="16" t="n"/>
      <c r="I62" s="16" t="n"/>
      <c r="J62" s="17" t="n"/>
      <c r="K62" s="16" t="n"/>
      <c r="L62" s="16" t="n"/>
      <c r="M62" s="16" t="n"/>
      <c r="N62" s="16" t="n"/>
      <c r="O62" s="16" t="n"/>
      <c r="P62" s="8" t="n"/>
      <c r="Q62" s="8" t="n"/>
      <c r="R62" s="8" t="n"/>
      <c r="S62" s="8" t="n"/>
      <c r="T62" s="8" t="n"/>
      <c r="U62" s="8" t="n"/>
      <c r="V62" s="8" t="n"/>
      <c r="W62" s="8" t="n"/>
      <c r="X62" s="8" t="n"/>
      <c r="Y62" s="8" t="n"/>
      <c r="Z62" s="8" t="n"/>
    </row>
    <row r="63" ht="13.5" customHeight="1" s="1">
      <c r="A63" s="8" t="n"/>
      <c r="B63" s="15" t="n"/>
      <c r="C63" s="8" t="n"/>
      <c r="D63" s="8" t="n"/>
      <c r="E63" s="16" t="n"/>
      <c r="F63" s="16" t="n"/>
      <c r="G63" s="16" t="n"/>
      <c r="H63" s="16" t="n"/>
      <c r="I63" s="16" t="n"/>
      <c r="J63" s="17" t="n"/>
      <c r="K63" s="16" t="n"/>
      <c r="L63" s="16" t="n"/>
      <c r="M63" s="16" t="n"/>
      <c r="N63" s="16" t="n"/>
      <c r="O63" s="16" t="n"/>
      <c r="P63" s="8" t="n"/>
      <c r="Q63" s="8" t="n"/>
      <c r="R63" s="8" t="n"/>
      <c r="S63" s="8" t="n"/>
      <c r="T63" s="8" t="n"/>
      <c r="U63" s="8" t="n"/>
      <c r="V63" s="8" t="n"/>
      <c r="W63" s="8" t="n"/>
      <c r="X63" s="8" t="n"/>
      <c r="Y63" s="8" t="n"/>
      <c r="Z63" s="8" t="n"/>
    </row>
    <row r="64" ht="13.5" customHeight="1" s="1">
      <c r="A64" s="8" t="n"/>
      <c r="B64" s="15" t="n"/>
      <c r="C64" s="8" t="n"/>
      <c r="D64" s="8" t="n"/>
      <c r="E64" s="16" t="n"/>
      <c r="F64" s="16" t="n"/>
      <c r="G64" s="16" t="n"/>
      <c r="H64" s="16" t="n"/>
      <c r="I64" s="16" t="n"/>
      <c r="J64" s="17" t="n"/>
      <c r="K64" s="16" t="n"/>
      <c r="L64" s="16" t="n"/>
      <c r="M64" s="16" t="n"/>
      <c r="N64" s="16" t="n"/>
      <c r="O64" s="16" t="n"/>
      <c r="P64" s="8" t="n"/>
      <c r="Q64" s="8" t="n"/>
      <c r="R64" s="8" t="n"/>
      <c r="S64" s="8" t="n"/>
      <c r="T64" s="8" t="n"/>
      <c r="U64" s="8" t="n"/>
      <c r="V64" s="8" t="n"/>
      <c r="W64" s="8" t="n"/>
      <c r="X64" s="8" t="n"/>
      <c r="Y64" s="8" t="n"/>
      <c r="Z64" s="8" t="n"/>
    </row>
    <row r="65" ht="13.5" customHeight="1" s="1">
      <c r="A65" s="8" t="n"/>
      <c r="B65" s="15" t="n"/>
      <c r="C65" s="8" t="n"/>
      <c r="D65" s="8" t="n"/>
      <c r="E65" s="16" t="n"/>
      <c r="F65" s="16" t="n"/>
      <c r="G65" s="16" t="n"/>
      <c r="H65" s="16" t="n"/>
      <c r="I65" s="16" t="n"/>
      <c r="J65" s="17" t="n"/>
      <c r="K65" s="16" t="n"/>
      <c r="L65" s="16" t="n"/>
      <c r="M65" s="16" t="n"/>
      <c r="N65" s="16" t="n"/>
      <c r="O65" s="16" t="n"/>
      <c r="P65" s="8" t="n"/>
      <c r="Q65" s="8" t="n"/>
      <c r="R65" s="8" t="n"/>
      <c r="S65" s="8" t="n"/>
      <c r="T65" s="8" t="n"/>
      <c r="U65" s="8" t="n"/>
      <c r="V65" s="8" t="n"/>
      <c r="W65" s="8" t="n"/>
      <c r="X65" s="8" t="n"/>
      <c r="Y65" s="8" t="n"/>
      <c r="Z65" s="8" t="n"/>
    </row>
    <row r="66" ht="13.5" customHeight="1" s="1">
      <c r="A66" s="8" t="n"/>
      <c r="B66" s="15" t="n"/>
      <c r="C66" s="8" t="n"/>
      <c r="D66" s="8" t="n"/>
      <c r="E66" s="16" t="n"/>
      <c r="F66" s="16" t="n"/>
      <c r="G66" s="16" t="n"/>
      <c r="H66" s="16" t="n"/>
      <c r="I66" s="16" t="n"/>
      <c r="J66" s="17" t="n"/>
      <c r="K66" s="16" t="n"/>
      <c r="L66" s="16" t="n"/>
      <c r="M66" s="16" t="n"/>
      <c r="N66" s="16" t="n"/>
      <c r="O66" s="16" t="n"/>
      <c r="P66" s="8" t="n"/>
      <c r="Q66" s="8" t="n"/>
      <c r="R66" s="8" t="n"/>
      <c r="S66" s="8" t="n"/>
      <c r="T66" s="8" t="n"/>
      <c r="U66" s="8" t="n"/>
      <c r="V66" s="8" t="n"/>
      <c r="W66" s="8" t="n"/>
      <c r="X66" s="8" t="n"/>
      <c r="Y66" s="8" t="n"/>
      <c r="Z66" s="8" t="n"/>
    </row>
    <row r="67" ht="13.5" customHeight="1" s="1">
      <c r="A67" s="8" t="n"/>
      <c r="B67" s="15" t="n"/>
      <c r="C67" s="8" t="n"/>
      <c r="D67" s="8" t="n"/>
      <c r="E67" s="16" t="n"/>
      <c r="F67" s="16" t="n"/>
      <c r="G67" s="16" t="n"/>
      <c r="H67" s="16" t="n"/>
      <c r="I67" s="16" t="n"/>
      <c r="J67" s="17" t="n"/>
      <c r="K67" s="16" t="n"/>
      <c r="L67" s="16" t="n"/>
      <c r="M67" s="16" t="n"/>
      <c r="N67" s="16" t="n"/>
      <c r="O67" s="16" t="n"/>
      <c r="P67" s="8" t="n"/>
      <c r="Q67" s="8" t="n"/>
      <c r="R67" s="8" t="n"/>
      <c r="S67" s="8" t="n"/>
      <c r="T67" s="8" t="n"/>
      <c r="U67" s="8" t="n"/>
      <c r="V67" s="8" t="n"/>
      <c r="W67" s="8" t="n"/>
      <c r="X67" s="8" t="n"/>
      <c r="Y67" s="8" t="n"/>
      <c r="Z67" s="8" t="n"/>
    </row>
    <row r="68" ht="13.5" customHeight="1" s="1">
      <c r="A68" s="8" t="n"/>
      <c r="B68" s="15" t="n"/>
      <c r="C68" s="8" t="n"/>
      <c r="D68" s="8" t="n"/>
      <c r="E68" s="16" t="n"/>
      <c r="F68" s="16" t="n"/>
      <c r="G68" s="16" t="n"/>
      <c r="H68" s="16" t="n"/>
      <c r="I68" s="16" t="n"/>
      <c r="J68" s="17" t="n"/>
      <c r="K68" s="16" t="n"/>
      <c r="L68" s="16" t="n"/>
      <c r="M68" s="16" t="n"/>
      <c r="N68" s="16" t="n"/>
      <c r="O68" s="16" t="n"/>
      <c r="P68" s="8" t="n"/>
      <c r="Q68" s="8" t="n"/>
      <c r="R68" s="8" t="n"/>
      <c r="S68" s="8" t="n"/>
      <c r="T68" s="8" t="n"/>
      <c r="U68" s="8" t="n"/>
      <c r="V68" s="8" t="n"/>
      <c r="W68" s="8" t="n"/>
      <c r="X68" s="8" t="n"/>
      <c r="Y68" s="8" t="n"/>
      <c r="Z68" s="8" t="n"/>
    </row>
    <row r="69" ht="13.5" customHeight="1" s="1">
      <c r="A69" s="8" t="n"/>
      <c r="B69" s="15" t="n"/>
      <c r="C69" s="8" t="n"/>
      <c r="D69" s="8" t="n"/>
      <c r="E69" s="16" t="n"/>
      <c r="F69" s="16" t="n"/>
      <c r="G69" s="16" t="n"/>
      <c r="H69" s="16" t="n"/>
      <c r="I69" s="16" t="n"/>
      <c r="J69" s="17" t="n"/>
      <c r="K69" s="16" t="n"/>
      <c r="L69" s="16" t="n"/>
      <c r="M69" s="16" t="n"/>
      <c r="N69" s="16" t="n"/>
      <c r="O69" s="16" t="n"/>
      <c r="P69" s="8" t="n"/>
      <c r="Q69" s="8" t="n"/>
      <c r="R69" s="8" t="n"/>
      <c r="S69" s="8" t="n"/>
      <c r="T69" s="8" t="n"/>
      <c r="U69" s="8" t="n"/>
      <c r="V69" s="8" t="n"/>
      <c r="W69" s="8" t="n"/>
      <c r="X69" s="8" t="n"/>
      <c r="Y69" s="8" t="n"/>
      <c r="Z69" s="8" t="n"/>
    </row>
    <row r="70" ht="13.5" customHeight="1" s="1">
      <c r="A70" s="8" t="n"/>
      <c r="B70" s="15" t="n"/>
      <c r="C70" s="8" t="n"/>
      <c r="D70" s="8" t="n"/>
      <c r="E70" s="16" t="n"/>
      <c r="F70" s="16" t="n"/>
      <c r="G70" s="16" t="n"/>
      <c r="H70" s="16" t="n"/>
      <c r="I70" s="16" t="n"/>
      <c r="J70" s="17" t="n"/>
      <c r="K70" s="16" t="n"/>
      <c r="L70" s="16" t="n"/>
      <c r="M70" s="16" t="n"/>
      <c r="N70" s="16" t="n"/>
      <c r="O70" s="16" t="n"/>
      <c r="P70" s="8" t="n"/>
      <c r="Q70" s="8" t="n"/>
      <c r="R70" s="8" t="n"/>
      <c r="S70" s="8" t="n"/>
      <c r="T70" s="8" t="n"/>
      <c r="U70" s="8" t="n"/>
      <c r="V70" s="8" t="n"/>
      <c r="W70" s="8" t="n"/>
      <c r="X70" s="8" t="n"/>
      <c r="Y70" s="8" t="n"/>
      <c r="Z70" s="8" t="n"/>
    </row>
    <row r="71" ht="13.5" customHeight="1" s="1">
      <c r="A71" s="8" t="n"/>
      <c r="B71" s="15" t="n"/>
      <c r="C71" s="8" t="n"/>
      <c r="D71" s="8" t="n"/>
      <c r="E71" s="16" t="n"/>
      <c r="F71" s="16" t="n"/>
      <c r="G71" s="16" t="n"/>
      <c r="H71" s="16" t="n"/>
      <c r="I71" s="16" t="n"/>
      <c r="J71" s="17" t="n"/>
      <c r="K71" s="16" t="n"/>
      <c r="L71" s="16" t="n"/>
      <c r="M71" s="16" t="n"/>
      <c r="N71" s="16" t="n"/>
      <c r="O71" s="16" t="n"/>
      <c r="P71" s="8" t="n"/>
      <c r="Q71" s="8" t="n"/>
      <c r="R71" s="8" t="n"/>
      <c r="S71" s="8" t="n"/>
      <c r="T71" s="8" t="n"/>
      <c r="U71" s="8" t="n"/>
      <c r="V71" s="8" t="n"/>
      <c r="W71" s="8" t="n"/>
      <c r="X71" s="8" t="n"/>
      <c r="Y71" s="8" t="n"/>
      <c r="Z71" s="8" t="n"/>
    </row>
    <row r="72" ht="13.5" customHeight="1" s="1">
      <c r="A72" s="8" t="n"/>
      <c r="B72" s="15" t="n"/>
      <c r="C72" s="8" t="n"/>
      <c r="D72" s="8" t="n"/>
      <c r="E72" s="16" t="n"/>
      <c r="F72" s="16" t="n"/>
      <c r="G72" s="16" t="n"/>
      <c r="H72" s="16" t="n"/>
      <c r="I72" s="16" t="n"/>
      <c r="J72" s="17" t="n"/>
      <c r="K72" s="16" t="n"/>
      <c r="L72" s="16" t="n"/>
      <c r="M72" s="16" t="n"/>
      <c r="N72" s="16" t="n"/>
      <c r="O72" s="16" t="n"/>
      <c r="P72" s="8" t="n"/>
      <c r="Q72" s="8" t="n"/>
      <c r="R72" s="8" t="n"/>
      <c r="S72" s="8" t="n"/>
      <c r="T72" s="8" t="n"/>
      <c r="U72" s="8" t="n"/>
      <c r="V72" s="8" t="n"/>
      <c r="W72" s="8" t="n"/>
      <c r="X72" s="8" t="n"/>
      <c r="Y72" s="8" t="n"/>
      <c r="Z72" s="8" t="n"/>
    </row>
    <row r="73" ht="13.5" customHeight="1" s="1">
      <c r="A73" s="8" t="n"/>
      <c r="B73" s="15" t="n"/>
      <c r="C73" s="8" t="n"/>
      <c r="D73" s="8" t="n"/>
      <c r="E73" s="16" t="n"/>
      <c r="F73" s="16" t="n"/>
      <c r="G73" s="16" t="n"/>
      <c r="H73" s="16" t="n"/>
      <c r="I73" s="16" t="n"/>
      <c r="J73" s="17" t="n"/>
      <c r="K73" s="16" t="n"/>
      <c r="L73" s="16" t="n"/>
      <c r="M73" s="16" t="n"/>
      <c r="N73" s="16" t="n"/>
      <c r="O73" s="16" t="n"/>
      <c r="P73" s="8" t="n"/>
      <c r="Q73" s="8" t="n"/>
      <c r="R73" s="8" t="n"/>
      <c r="S73" s="8" t="n"/>
      <c r="T73" s="8" t="n"/>
      <c r="U73" s="8" t="n"/>
      <c r="V73" s="8" t="n"/>
      <c r="W73" s="8" t="n"/>
      <c r="X73" s="8" t="n"/>
      <c r="Y73" s="8" t="n"/>
      <c r="Z73" s="8" t="n"/>
    </row>
    <row r="74" ht="13.5" customHeight="1" s="1">
      <c r="A74" s="8" t="n"/>
      <c r="B74" s="15" t="n"/>
      <c r="C74" s="8" t="n"/>
      <c r="D74" s="8" t="n"/>
      <c r="E74" s="16" t="n"/>
      <c r="F74" s="16" t="n"/>
      <c r="G74" s="16" t="n"/>
      <c r="H74" s="16" t="n"/>
      <c r="I74" s="16" t="n"/>
      <c r="J74" s="17" t="n"/>
      <c r="K74" s="16" t="n"/>
      <c r="L74" s="16" t="n"/>
      <c r="M74" s="16" t="n"/>
      <c r="N74" s="16" t="n"/>
      <c r="O74" s="16" t="n"/>
      <c r="P74" s="8" t="n"/>
      <c r="Q74" s="8" t="n"/>
      <c r="R74" s="8" t="n"/>
      <c r="S74" s="8" t="n"/>
      <c r="T74" s="8" t="n"/>
      <c r="U74" s="8" t="n"/>
      <c r="V74" s="8" t="n"/>
      <c r="W74" s="8" t="n"/>
      <c r="X74" s="8" t="n"/>
      <c r="Y74" s="8" t="n"/>
      <c r="Z74" s="8" t="n"/>
    </row>
    <row r="75" ht="13.5" customHeight="1" s="1">
      <c r="A75" s="8" t="n"/>
      <c r="B75" s="15" t="n"/>
      <c r="C75" s="8" t="n"/>
      <c r="D75" s="8" t="n"/>
      <c r="E75" s="16" t="n"/>
      <c r="F75" s="16" t="n"/>
      <c r="G75" s="16" t="n"/>
      <c r="H75" s="16" t="n"/>
      <c r="I75" s="16" t="n"/>
      <c r="J75" s="17" t="n"/>
      <c r="K75" s="16" t="n"/>
      <c r="L75" s="16" t="n"/>
      <c r="M75" s="16" t="n"/>
      <c r="N75" s="16" t="n"/>
      <c r="O75" s="16" t="n"/>
      <c r="P75" s="8" t="n"/>
      <c r="Q75" s="8" t="n"/>
      <c r="R75" s="8" t="n"/>
      <c r="S75" s="8" t="n"/>
      <c r="T75" s="8" t="n"/>
      <c r="U75" s="8" t="n"/>
      <c r="V75" s="8" t="n"/>
      <c r="W75" s="8" t="n"/>
      <c r="X75" s="8" t="n"/>
      <c r="Y75" s="8" t="n"/>
      <c r="Z75" s="8" t="n"/>
    </row>
    <row r="76" ht="13.5" customHeight="1" s="1">
      <c r="A76" s="8" t="n"/>
      <c r="B76" s="15" t="n"/>
      <c r="C76" s="8" t="n"/>
      <c r="D76" s="8" t="n"/>
      <c r="E76" s="16" t="n"/>
      <c r="F76" s="16" t="n"/>
      <c r="G76" s="16" t="n"/>
      <c r="H76" s="16" t="n"/>
      <c r="I76" s="16" t="n"/>
      <c r="J76" s="17" t="n"/>
      <c r="K76" s="16" t="n"/>
      <c r="L76" s="16" t="n"/>
      <c r="M76" s="16" t="n"/>
      <c r="N76" s="16" t="n"/>
      <c r="O76" s="16" t="n"/>
      <c r="P76" s="8" t="n"/>
      <c r="Q76" s="8" t="n"/>
      <c r="R76" s="8" t="n"/>
      <c r="S76" s="8" t="n"/>
      <c r="T76" s="8" t="n"/>
      <c r="U76" s="8" t="n"/>
      <c r="V76" s="8" t="n"/>
      <c r="W76" s="8" t="n"/>
      <c r="X76" s="8" t="n"/>
      <c r="Y76" s="8" t="n"/>
      <c r="Z76" s="8" t="n"/>
    </row>
    <row r="77" ht="13.5" customHeight="1" s="1">
      <c r="A77" s="8" t="n"/>
      <c r="B77" s="15" t="n"/>
      <c r="C77" s="8" t="n"/>
      <c r="D77" s="8" t="n"/>
      <c r="E77" s="16" t="n"/>
      <c r="F77" s="16" t="n"/>
      <c r="G77" s="16" t="n"/>
      <c r="H77" s="16" t="n"/>
      <c r="I77" s="16" t="n"/>
      <c r="J77" s="17" t="n"/>
      <c r="K77" s="16" t="n"/>
      <c r="L77" s="16" t="n"/>
      <c r="M77" s="16" t="n"/>
      <c r="N77" s="16" t="n"/>
      <c r="O77" s="16" t="n"/>
      <c r="P77" s="8" t="n"/>
      <c r="Q77" s="8" t="n"/>
      <c r="R77" s="8" t="n"/>
      <c r="S77" s="8" t="n"/>
      <c r="T77" s="8" t="n"/>
      <c r="U77" s="8" t="n"/>
      <c r="V77" s="8" t="n"/>
      <c r="W77" s="8" t="n"/>
      <c r="X77" s="8" t="n"/>
      <c r="Y77" s="8" t="n"/>
      <c r="Z77" s="8" t="n"/>
    </row>
    <row r="78" ht="13.5" customHeight="1" s="1">
      <c r="A78" s="8" t="n"/>
      <c r="B78" s="15" t="n"/>
      <c r="C78" s="8" t="n"/>
      <c r="D78" s="8" t="n"/>
      <c r="E78" s="16" t="n"/>
      <c r="F78" s="16" t="n"/>
      <c r="G78" s="16" t="n"/>
      <c r="H78" s="16" t="n"/>
      <c r="I78" s="16" t="n"/>
      <c r="J78" s="17" t="n"/>
      <c r="K78" s="16" t="n"/>
      <c r="L78" s="16" t="n"/>
      <c r="M78" s="16" t="n"/>
      <c r="N78" s="16" t="n"/>
      <c r="O78" s="16" t="n"/>
      <c r="P78" s="8" t="n"/>
      <c r="Q78" s="8" t="n"/>
      <c r="R78" s="8" t="n"/>
      <c r="S78" s="8" t="n"/>
      <c r="T78" s="8" t="n"/>
      <c r="U78" s="8" t="n"/>
      <c r="V78" s="8" t="n"/>
      <c r="W78" s="8" t="n"/>
      <c r="X78" s="8" t="n"/>
      <c r="Y78" s="8" t="n"/>
      <c r="Z78" s="8" t="n"/>
    </row>
    <row r="79" ht="13.5" customHeight="1" s="1">
      <c r="A79" s="8" t="n"/>
      <c r="B79" s="15" t="n"/>
      <c r="C79" s="8" t="n"/>
      <c r="D79" s="8" t="n"/>
      <c r="E79" s="16" t="n"/>
      <c r="F79" s="16" t="n"/>
      <c r="G79" s="16" t="n"/>
      <c r="H79" s="16" t="n"/>
      <c r="I79" s="16" t="n"/>
      <c r="J79" s="17" t="n"/>
      <c r="K79" s="16" t="n"/>
      <c r="L79" s="16" t="n"/>
      <c r="M79" s="16" t="n"/>
      <c r="N79" s="16" t="n"/>
      <c r="O79" s="16" t="n"/>
      <c r="P79" s="8" t="n"/>
      <c r="Q79" s="8" t="n"/>
      <c r="R79" s="8" t="n"/>
      <c r="S79" s="8" t="n"/>
      <c r="T79" s="8" t="n"/>
      <c r="U79" s="8" t="n"/>
      <c r="V79" s="8" t="n"/>
      <c r="W79" s="8" t="n"/>
      <c r="X79" s="8" t="n"/>
      <c r="Y79" s="8" t="n"/>
      <c r="Z79" s="8" t="n"/>
    </row>
    <row r="80" ht="13.5" customHeight="1" s="1">
      <c r="A80" s="8" t="n"/>
      <c r="B80" s="15" t="n"/>
      <c r="C80" s="8" t="n"/>
      <c r="D80" s="8" t="n"/>
      <c r="E80" s="16" t="n"/>
      <c r="F80" s="16" t="n"/>
      <c r="G80" s="16" t="n"/>
      <c r="H80" s="16" t="n"/>
      <c r="I80" s="16" t="n"/>
      <c r="J80" s="17" t="n"/>
      <c r="K80" s="16" t="n"/>
      <c r="L80" s="16" t="n"/>
      <c r="M80" s="16" t="n"/>
      <c r="N80" s="16" t="n"/>
      <c r="O80" s="16" t="n"/>
      <c r="P80" s="8" t="n"/>
      <c r="Q80" s="8" t="n"/>
      <c r="R80" s="8" t="n"/>
      <c r="S80" s="8" t="n"/>
      <c r="T80" s="8" t="n"/>
      <c r="U80" s="8" t="n"/>
      <c r="V80" s="8" t="n"/>
      <c r="W80" s="8" t="n"/>
      <c r="X80" s="8" t="n"/>
      <c r="Y80" s="8" t="n"/>
      <c r="Z80" s="8" t="n"/>
    </row>
    <row r="81" ht="13.5" customHeight="1" s="1">
      <c r="A81" s="8" t="n"/>
      <c r="B81" s="15" t="n"/>
      <c r="C81" s="8" t="n"/>
      <c r="D81" s="8" t="n"/>
      <c r="E81" s="16" t="n"/>
      <c r="F81" s="16" t="n"/>
      <c r="G81" s="16" t="n"/>
      <c r="H81" s="16" t="n"/>
      <c r="I81" s="16" t="n"/>
      <c r="J81" s="17" t="n"/>
      <c r="K81" s="16" t="n"/>
      <c r="L81" s="16" t="n"/>
      <c r="M81" s="16" t="n"/>
      <c r="N81" s="16" t="n"/>
      <c r="O81" s="16" t="n"/>
      <c r="P81" s="8" t="n"/>
      <c r="Q81" s="8" t="n"/>
      <c r="R81" s="8" t="n"/>
      <c r="S81" s="8" t="n"/>
      <c r="T81" s="8" t="n"/>
      <c r="U81" s="8" t="n"/>
      <c r="V81" s="8" t="n"/>
      <c r="W81" s="8" t="n"/>
      <c r="X81" s="8" t="n"/>
      <c r="Y81" s="8" t="n"/>
      <c r="Z81" s="8" t="n"/>
    </row>
    <row r="82" ht="13.5" customHeight="1" s="1">
      <c r="A82" s="8" t="n"/>
      <c r="B82" s="15" t="n"/>
      <c r="C82" s="8" t="n"/>
      <c r="D82" s="8" t="n"/>
      <c r="E82" s="16" t="n"/>
      <c r="F82" s="16" t="n"/>
      <c r="G82" s="16" t="n"/>
      <c r="H82" s="16" t="n"/>
      <c r="I82" s="16" t="n"/>
      <c r="J82" s="17" t="n"/>
      <c r="K82" s="16" t="n"/>
      <c r="L82" s="16" t="n"/>
      <c r="M82" s="16" t="n"/>
      <c r="N82" s="16" t="n"/>
      <c r="O82" s="16" t="n"/>
      <c r="P82" s="8" t="n"/>
      <c r="Q82" s="8" t="n"/>
      <c r="R82" s="8" t="n"/>
      <c r="S82" s="8" t="n"/>
      <c r="T82" s="8" t="n"/>
      <c r="U82" s="8" t="n"/>
      <c r="V82" s="8" t="n"/>
      <c r="W82" s="8" t="n"/>
      <c r="X82" s="8" t="n"/>
      <c r="Y82" s="8" t="n"/>
      <c r="Z82" s="8" t="n"/>
    </row>
    <row r="83" ht="13.5" customHeight="1" s="1">
      <c r="A83" s="8" t="n"/>
      <c r="B83" s="15" t="n"/>
      <c r="C83" s="8" t="n"/>
      <c r="D83" s="8" t="n"/>
      <c r="E83" s="16" t="n"/>
      <c r="F83" s="16" t="n"/>
      <c r="G83" s="16" t="n"/>
      <c r="H83" s="16" t="n"/>
      <c r="I83" s="16" t="n"/>
      <c r="J83" s="17" t="n"/>
      <c r="K83" s="16" t="n"/>
      <c r="L83" s="16" t="n"/>
      <c r="M83" s="16" t="n"/>
      <c r="N83" s="16" t="n"/>
      <c r="O83" s="16" t="n"/>
      <c r="P83" s="8" t="n"/>
      <c r="Q83" s="8" t="n"/>
      <c r="R83" s="8" t="n"/>
      <c r="S83" s="8" t="n"/>
      <c r="T83" s="8" t="n"/>
      <c r="U83" s="8" t="n"/>
      <c r="V83" s="8" t="n"/>
      <c r="W83" s="8" t="n"/>
      <c r="X83" s="8" t="n"/>
      <c r="Y83" s="8" t="n"/>
      <c r="Z83" s="8" t="n"/>
    </row>
    <row r="84" ht="13.5" customHeight="1" s="1">
      <c r="A84" s="8" t="n"/>
      <c r="B84" s="15" t="n"/>
      <c r="C84" s="8" t="n"/>
      <c r="D84" s="8" t="n"/>
      <c r="E84" s="16" t="n"/>
      <c r="F84" s="16" t="n"/>
      <c r="G84" s="16" t="n"/>
      <c r="H84" s="16" t="n"/>
      <c r="I84" s="16" t="n"/>
      <c r="J84" s="17" t="n"/>
      <c r="K84" s="16" t="n"/>
      <c r="L84" s="16" t="n"/>
      <c r="M84" s="16" t="n"/>
      <c r="N84" s="16" t="n"/>
      <c r="O84" s="16" t="n"/>
      <c r="P84" s="8" t="n"/>
      <c r="Q84" s="8" t="n"/>
      <c r="R84" s="8" t="n"/>
      <c r="S84" s="8" t="n"/>
      <c r="T84" s="8" t="n"/>
      <c r="U84" s="8" t="n"/>
      <c r="V84" s="8" t="n"/>
      <c r="W84" s="8" t="n"/>
      <c r="X84" s="8" t="n"/>
      <c r="Y84" s="8" t="n"/>
      <c r="Z84" s="8" t="n"/>
    </row>
    <row r="85" ht="13.5" customHeight="1" s="1">
      <c r="A85" s="8" t="n"/>
      <c r="B85" s="15" t="n"/>
      <c r="C85" s="8" t="n"/>
      <c r="D85" s="8" t="n"/>
      <c r="E85" s="16" t="n"/>
      <c r="F85" s="16" t="n"/>
      <c r="G85" s="16" t="n"/>
      <c r="H85" s="16" t="n"/>
      <c r="I85" s="16" t="n"/>
      <c r="J85" s="17" t="n"/>
      <c r="K85" s="16" t="n"/>
      <c r="L85" s="16" t="n"/>
      <c r="M85" s="16" t="n"/>
      <c r="N85" s="16" t="n"/>
      <c r="O85" s="16" t="n"/>
      <c r="P85" s="8" t="n"/>
      <c r="Q85" s="8" t="n"/>
      <c r="R85" s="8" t="n"/>
      <c r="S85" s="8" t="n"/>
      <c r="T85" s="8" t="n"/>
      <c r="U85" s="8" t="n"/>
      <c r="V85" s="8" t="n"/>
      <c r="W85" s="8" t="n"/>
      <c r="X85" s="8" t="n"/>
      <c r="Y85" s="8" t="n"/>
      <c r="Z85" s="8" t="n"/>
    </row>
    <row r="86" ht="13.5" customHeight="1" s="1">
      <c r="A86" s="8" t="n"/>
      <c r="B86" s="15" t="n"/>
      <c r="C86" s="8" t="n"/>
      <c r="D86" s="8" t="n"/>
      <c r="E86" s="16" t="n"/>
      <c r="F86" s="16" t="n"/>
      <c r="G86" s="16" t="n"/>
      <c r="H86" s="16" t="n"/>
      <c r="I86" s="16" t="n"/>
      <c r="J86" s="17" t="n"/>
      <c r="K86" s="16" t="n"/>
      <c r="L86" s="16" t="n"/>
      <c r="M86" s="16" t="n"/>
      <c r="N86" s="16" t="n"/>
      <c r="O86" s="16" t="n"/>
      <c r="P86" s="8" t="n"/>
      <c r="Q86" s="8" t="n"/>
      <c r="R86" s="8" t="n"/>
      <c r="S86" s="8" t="n"/>
      <c r="T86" s="8" t="n"/>
      <c r="U86" s="8" t="n"/>
      <c r="V86" s="8" t="n"/>
      <c r="W86" s="8" t="n"/>
      <c r="X86" s="8" t="n"/>
      <c r="Y86" s="8" t="n"/>
      <c r="Z86" s="8" t="n"/>
    </row>
    <row r="87" ht="13.5" customHeight="1" s="1">
      <c r="A87" s="8" t="n"/>
      <c r="B87" s="15" t="n"/>
      <c r="C87" s="8" t="n"/>
      <c r="D87" s="8" t="n"/>
      <c r="E87" s="16" t="n"/>
      <c r="F87" s="16" t="n"/>
      <c r="G87" s="16" t="n"/>
      <c r="H87" s="16" t="n"/>
      <c r="I87" s="16" t="n"/>
      <c r="J87" s="17" t="n"/>
      <c r="K87" s="16" t="n"/>
      <c r="L87" s="16" t="n"/>
      <c r="M87" s="16" t="n"/>
      <c r="N87" s="16" t="n"/>
      <c r="O87" s="16" t="n"/>
      <c r="P87" s="8" t="n"/>
      <c r="Q87" s="8" t="n"/>
      <c r="R87" s="8" t="n"/>
      <c r="S87" s="8" t="n"/>
      <c r="T87" s="8" t="n"/>
      <c r="U87" s="8" t="n"/>
      <c r="V87" s="8" t="n"/>
      <c r="W87" s="8" t="n"/>
      <c r="X87" s="8" t="n"/>
      <c r="Y87" s="8" t="n"/>
      <c r="Z87" s="8" t="n"/>
    </row>
    <row r="88" ht="13.5" customHeight="1" s="1">
      <c r="A88" s="8" t="n"/>
      <c r="B88" s="15" t="n"/>
      <c r="C88" s="8" t="n"/>
      <c r="D88" s="8" t="n"/>
      <c r="E88" s="16" t="n"/>
      <c r="F88" s="16" t="n"/>
      <c r="G88" s="16" t="n"/>
      <c r="H88" s="16" t="n"/>
      <c r="I88" s="16" t="n"/>
      <c r="J88" s="17" t="n"/>
      <c r="K88" s="16" t="n"/>
      <c r="L88" s="16" t="n"/>
      <c r="M88" s="16" t="n"/>
      <c r="N88" s="16" t="n"/>
      <c r="O88" s="16" t="n"/>
      <c r="P88" s="8" t="n"/>
      <c r="Q88" s="8" t="n"/>
      <c r="R88" s="8" t="n"/>
      <c r="S88" s="8" t="n"/>
      <c r="T88" s="8" t="n"/>
      <c r="U88" s="8" t="n"/>
      <c r="V88" s="8" t="n"/>
      <c r="W88" s="8" t="n"/>
      <c r="X88" s="8" t="n"/>
      <c r="Y88" s="8" t="n"/>
      <c r="Z88" s="8" t="n"/>
    </row>
    <row r="89" ht="13.5" customHeight="1" s="1">
      <c r="A89" s="8" t="n"/>
      <c r="B89" s="15" t="n"/>
      <c r="C89" s="8" t="n"/>
      <c r="D89" s="8" t="n"/>
      <c r="E89" s="16" t="n"/>
      <c r="F89" s="16" t="n"/>
      <c r="G89" s="16" t="n"/>
      <c r="H89" s="16" t="n"/>
      <c r="I89" s="16" t="n"/>
      <c r="J89" s="17" t="n"/>
      <c r="K89" s="16" t="n"/>
      <c r="L89" s="16" t="n"/>
      <c r="M89" s="16" t="n"/>
      <c r="N89" s="16" t="n"/>
      <c r="O89" s="16" t="n"/>
      <c r="P89" s="8" t="n"/>
      <c r="Q89" s="8" t="n"/>
      <c r="R89" s="8" t="n"/>
      <c r="S89" s="8" t="n"/>
      <c r="T89" s="8" t="n"/>
      <c r="U89" s="8" t="n"/>
      <c r="V89" s="8" t="n"/>
      <c r="W89" s="8" t="n"/>
      <c r="X89" s="8" t="n"/>
      <c r="Y89" s="8" t="n"/>
      <c r="Z89" s="8" t="n"/>
    </row>
    <row r="90" ht="13.5" customHeight="1" s="1">
      <c r="A90" s="8" t="n"/>
      <c r="B90" s="15" t="n"/>
      <c r="C90" s="8" t="n"/>
      <c r="D90" s="8" t="n"/>
      <c r="E90" s="16" t="n"/>
      <c r="F90" s="16" t="n"/>
      <c r="G90" s="16" t="n"/>
      <c r="H90" s="16" t="n"/>
      <c r="I90" s="16" t="n"/>
      <c r="J90" s="17" t="n"/>
      <c r="K90" s="16" t="n"/>
      <c r="L90" s="16" t="n"/>
      <c r="M90" s="16" t="n"/>
      <c r="N90" s="16" t="n"/>
      <c r="O90" s="16" t="n"/>
      <c r="P90" s="8" t="n"/>
      <c r="Q90" s="8" t="n"/>
      <c r="R90" s="8" t="n"/>
      <c r="S90" s="8" t="n"/>
      <c r="T90" s="8" t="n"/>
      <c r="U90" s="8" t="n"/>
      <c r="V90" s="8" t="n"/>
      <c r="W90" s="8" t="n"/>
      <c r="X90" s="8" t="n"/>
      <c r="Y90" s="8" t="n"/>
      <c r="Z90" s="8" t="n"/>
    </row>
    <row r="91" ht="13.5" customHeight="1" s="1">
      <c r="A91" s="8" t="n"/>
      <c r="B91" s="15" t="n"/>
      <c r="C91" s="8" t="n"/>
      <c r="D91" s="8" t="n"/>
      <c r="E91" s="16" t="n"/>
      <c r="F91" s="16" t="n"/>
      <c r="G91" s="16" t="n"/>
      <c r="H91" s="16" t="n"/>
      <c r="I91" s="16" t="n"/>
      <c r="J91" s="17" t="n"/>
      <c r="K91" s="16" t="n"/>
      <c r="L91" s="16" t="n"/>
      <c r="M91" s="16" t="n"/>
      <c r="N91" s="16" t="n"/>
      <c r="O91" s="16" t="n"/>
      <c r="P91" s="8" t="n"/>
      <c r="Q91" s="8" t="n"/>
      <c r="R91" s="8" t="n"/>
      <c r="S91" s="8" t="n"/>
      <c r="T91" s="8" t="n"/>
      <c r="U91" s="8" t="n"/>
      <c r="V91" s="8" t="n"/>
      <c r="W91" s="8" t="n"/>
      <c r="X91" s="8" t="n"/>
      <c r="Y91" s="8" t="n"/>
      <c r="Z91" s="8" t="n"/>
    </row>
    <row r="92" ht="13.5" customHeight="1" s="1">
      <c r="A92" s="8" t="n"/>
      <c r="B92" s="15" t="n"/>
      <c r="C92" s="8" t="n"/>
      <c r="D92" s="8" t="n"/>
      <c r="E92" s="16" t="n"/>
      <c r="F92" s="16" t="n"/>
      <c r="G92" s="16" t="n"/>
      <c r="H92" s="16" t="n"/>
      <c r="I92" s="16" t="n"/>
      <c r="J92" s="17" t="n"/>
      <c r="K92" s="16" t="n"/>
      <c r="L92" s="16" t="n"/>
      <c r="M92" s="16" t="n"/>
      <c r="N92" s="16" t="n"/>
      <c r="O92" s="16" t="n"/>
      <c r="P92" s="8" t="n"/>
      <c r="Q92" s="8" t="n"/>
      <c r="R92" s="8" t="n"/>
      <c r="S92" s="8" t="n"/>
      <c r="T92" s="8" t="n"/>
      <c r="U92" s="8" t="n"/>
      <c r="V92" s="8" t="n"/>
      <c r="W92" s="8" t="n"/>
      <c r="X92" s="8" t="n"/>
      <c r="Y92" s="8" t="n"/>
      <c r="Z92" s="8" t="n"/>
    </row>
    <row r="93" ht="13.5" customHeight="1" s="1">
      <c r="A93" s="8" t="n"/>
      <c r="B93" s="15" t="n"/>
      <c r="C93" s="8" t="n"/>
      <c r="D93" s="8" t="n"/>
      <c r="E93" s="16" t="n"/>
      <c r="F93" s="16" t="n"/>
      <c r="G93" s="16" t="n"/>
      <c r="H93" s="16" t="n"/>
      <c r="I93" s="16" t="n"/>
      <c r="J93" s="17" t="n"/>
      <c r="K93" s="16" t="n"/>
      <c r="L93" s="16" t="n"/>
      <c r="M93" s="16" t="n"/>
      <c r="N93" s="16" t="n"/>
      <c r="O93" s="16" t="n"/>
      <c r="P93" s="8" t="n"/>
      <c r="Q93" s="8" t="n"/>
      <c r="R93" s="8" t="n"/>
      <c r="S93" s="8" t="n"/>
      <c r="T93" s="8" t="n"/>
      <c r="U93" s="8" t="n"/>
      <c r="V93" s="8" t="n"/>
      <c r="W93" s="8" t="n"/>
      <c r="X93" s="8" t="n"/>
      <c r="Y93" s="8" t="n"/>
      <c r="Z93" s="8" t="n"/>
    </row>
    <row r="94" ht="13.5" customHeight="1" s="1">
      <c r="A94" s="8" t="n"/>
      <c r="B94" s="15" t="n"/>
      <c r="C94" s="8" t="n"/>
      <c r="D94" s="8" t="n"/>
      <c r="E94" s="16" t="n"/>
      <c r="F94" s="16" t="n"/>
      <c r="G94" s="16" t="n"/>
      <c r="H94" s="16" t="n"/>
      <c r="I94" s="16" t="n"/>
      <c r="J94" s="17" t="n"/>
      <c r="K94" s="16" t="n"/>
      <c r="L94" s="16" t="n"/>
      <c r="M94" s="16" t="n"/>
      <c r="N94" s="16" t="n"/>
      <c r="O94" s="16" t="n"/>
      <c r="P94" s="8" t="n"/>
      <c r="Q94" s="8" t="n"/>
      <c r="R94" s="8" t="n"/>
      <c r="S94" s="8" t="n"/>
      <c r="T94" s="8" t="n"/>
      <c r="U94" s="8" t="n"/>
      <c r="V94" s="8" t="n"/>
      <c r="W94" s="8" t="n"/>
      <c r="X94" s="8" t="n"/>
      <c r="Y94" s="8" t="n"/>
      <c r="Z94" s="8" t="n"/>
    </row>
    <row r="95" ht="13.5" customHeight="1" s="1">
      <c r="A95" s="8" t="n"/>
      <c r="B95" s="15" t="n"/>
      <c r="C95" s="8" t="n"/>
      <c r="D95" s="8" t="n"/>
      <c r="E95" s="16" t="n"/>
      <c r="F95" s="16" t="n"/>
      <c r="G95" s="16" t="n"/>
      <c r="H95" s="16" t="n"/>
      <c r="I95" s="16" t="n"/>
      <c r="J95" s="17" t="n"/>
      <c r="K95" s="16" t="n"/>
      <c r="L95" s="16" t="n"/>
      <c r="M95" s="16" t="n"/>
      <c r="N95" s="16" t="n"/>
      <c r="O95" s="16" t="n"/>
      <c r="P95" s="8" t="n"/>
      <c r="Q95" s="8" t="n"/>
      <c r="R95" s="8" t="n"/>
      <c r="S95" s="8" t="n"/>
      <c r="T95" s="8" t="n"/>
      <c r="U95" s="8" t="n"/>
      <c r="V95" s="8" t="n"/>
      <c r="W95" s="8" t="n"/>
      <c r="X95" s="8" t="n"/>
      <c r="Y95" s="8" t="n"/>
      <c r="Z95" s="8" t="n"/>
    </row>
    <row r="96" ht="13.5" customHeight="1" s="1">
      <c r="A96" s="8" t="n"/>
      <c r="B96" s="15" t="n"/>
      <c r="C96" s="8" t="n"/>
      <c r="D96" s="8" t="n"/>
      <c r="E96" s="16" t="n"/>
      <c r="F96" s="16" t="n"/>
      <c r="G96" s="16" t="n"/>
      <c r="H96" s="16" t="n"/>
      <c r="I96" s="16" t="n"/>
      <c r="J96" s="17" t="n"/>
      <c r="K96" s="16" t="n"/>
      <c r="L96" s="16" t="n"/>
      <c r="M96" s="16" t="n"/>
      <c r="N96" s="16" t="n"/>
      <c r="O96" s="16" t="n"/>
      <c r="P96" s="8" t="n"/>
      <c r="Q96" s="8" t="n"/>
      <c r="R96" s="8" t="n"/>
      <c r="S96" s="8" t="n"/>
      <c r="T96" s="8" t="n"/>
      <c r="U96" s="8" t="n"/>
      <c r="V96" s="8" t="n"/>
      <c r="W96" s="8" t="n"/>
      <c r="X96" s="8" t="n"/>
      <c r="Y96" s="8" t="n"/>
      <c r="Z96" s="8" t="n"/>
    </row>
    <row r="97" ht="13.5" customHeight="1" s="1">
      <c r="A97" s="8" t="n"/>
      <c r="B97" s="15" t="n"/>
      <c r="C97" s="8" t="n"/>
      <c r="D97" s="8" t="n"/>
      <c r="E97" s="16" t="n"/>
      <c r="F97" s="16" t="n"/>
      <c r="G97" s="16" t="n"/>
      <c r="H97" s="16" t="n"/>
      <c r="I97" s="16" t="n"/>
      <c r="J97" s="17" t="n"/>
      <c r="K97" s="16" t="n"/>
      <c r="L97" s="16" t="n"/>
      <c r="M97" s="16" t="n"/>
      <c r="N97" s="16" t="n"/>
      <c r="O97" s="16" t="n"/>
      <c r="P97" s="8" t="n"/>
      <c r="Q97" s="8" t="n"/>
      <c r="R97" s="8" t="n"/>
      <c r="S97" s="8" t="n"/>
      <c r="T97" s="8" t="n"/>
      <c r="U97" s="8" t="n"/>
      <c r="V97" s="8" t="n"/>
      <c r="W97" s="8" t="n"/>
      <c r="X97" s="8" t="n"/>
      <c r="Y97" s="8" t="n"/>
      <c r="Z97" s="8" t="n"/>
    </row>
    <row r="98" ht="13.5" customHeight="1" s="1">
      <c r="A98" s="8" t="n"/>
      <c r="B98" s="15" t="n"/>
      <c r="C98" s="8" t="n"/>
      <c r="D98" s="8" t="n"/>
      <c r="E98" s="16" t="n"/>
      <c r="F98" s="16" t="n"/>
      <c r="G98" s="16" t="n"/>
      <c r="H98" s="16" t="n"/>
      <c r="I98" s="16" t="n"/>
      <c r="J98" s="17" t="n"/>
      <c r="K98" s="16" t="n"/>
      <c r="L98" s="16" t="n"/>
      <c r="M98" s="16" t="n"/>
      <c r="N98" s="16" t="n"/>
      <c r="O98" s="16" t="n"/>
      <c r="P98" s="8" t="n"/>
      <c r="Q98" s="8" t="n"/>
      <c r="R98" s="8" t="n"/>
      <c r="S98" s="8" t="n"/>
      <c r="T98" s="8" t="n"/>
      <c r="U98" s="8" t="n"/>
      <c r="V98" s="8" t="n"/>
      <c r="W98" s="8" t="n"/>
      <c r="X98" s="8" t="n"/>
      <c r="Y98" s="8" t="n"/>
      <c r="Z98" s="8" t="n"/>
    </row>
    <row r="99" ht="13.5" customHeight="1" s="1">
      <c r="A99" s="8" t="n"/>
      <c r="B99" s="15" t="n"/>
      <c r="C99" s="8" t="n"/>
      <c r="D99" s="8" t="n"/>
      <c r="E99" s="16" t="n"/>
      <c r="F99" s="16" t="n"/>
      <c r="G99" s="16" t="n"/>
      <c r="H99" s="16" t="n"/>
      <c r="I99" s="16" t="n"/>
      <c r="J99" s="17" t="n"/>
      <c r="K99" s="16" t="n"/>
      <c r="L99" s="16" t="n"/>
      <c r="M99" s="16" t="n"/>
      <c r="N99" s="16" t="n"/>
      <c r="O99" s="16" t="n"/>
      <c r="P99" s="8" t="n"/>
      <c r="Q99" s="8" t="n"/>
      <c r="R99" s="8" t="n"/>
      <c r="S99" s="8" t="n"/>
      <c r="T99" s="8" t="n"/>
      <c r="U99" s="8" t="n"/>
      <c r="V99" s="8" t="n"/>
      <c r="W99" s="8" t="n"/>
      <c r="X99" s="8" t="n"/>
      <c r="Y99" s="8" t="n"/>
      <c r="Z99" s="8" t="n"/>
    </row>
    <row r="100" ht="13.5" customHeight="1" s="1">
      <c r="A100" s="8" t="n"/>
      <c r="B100" s="15" t="n"/>
      <c r="C100" s="8" t="n"/>
      <c r="D100" s="8" t="n"/>
      <c r="E100" s="16" t="n"/>
      <c r="F100" s="16" t="n"/>
      <c r="G100" s="16" t="n"/>
      <c r="H100" s="16" t="n"/>
      <c r="I100" s="16" t="n"/>
      <c r="J100" s="17" t="n"/>
      <c r="K100" s="16" t="n"/>
      <c r="L100" s="16" t="n"/>
      <c r="M100" s="16" t="n"/>
      <c r="N100" s="16" t="n"/>
      <c r="O100" s="16" t="n"/>
      <c r="P100" s="8" t="n"/>
      <c r="Q100" s="8" t="n"/>
      <c r="R100" s="8" t="n"/>
      <c r="S100" s="8" t="n"/>
      <c r="T100" s="8" t="n"/>
      <c r="U100" s="8" t="n"/>
      <c r="V100" s="8" t="n"/>
      <c r="W100" s="8" t="n"/>
      <c r="X100" s="8" t="n"/>
      <c r="Y100" s="8" t="n"/>
      <c r="Z100" s="8" t="n"/>
    </row>
    <row r="101" ht="13.5" customHeight="1" s="1">
      <c r="A101" s="8" t="n"/>
      <c r="B101" s="15" t="n"/>
      <c r="C101" s="8" t="n"/>
      <c r="D101" s="8" t="n"/>
      <c r="E101" s="16" t="n"/>
      <c r="F101" s="16" t="n"/>
      <c r="G101" s="16" t="n"/>
      <c r="H101" s="16" t="n"/>
      <c r="I101" s="16" t="n"/>
      <c r="J101" s="17" t="n"/>
      <c r="K101" s="16" t="n"/>
      <c r="L101" s="16" t="n"/>
      <c r="M101" s="16" t="n"/>
      <c r="N101" s="16" t="n"/>
      <c r="O101" s="16" t="n"/>
      <c r="P101" s="8" t="n"/>
      <c r="Q101" s="8" t="n"/>
      <c r="R101" s="8" t="n"/>
      <c r="S101" s="8" t="n"/>
      <c r="T101" s="8" t="n"/>
      <c r="U101" s="8" t="n"/>
      <c r="V101" s="8" t="n"/>
      <c r="W101" s="8" t="n"/>
      <c r="X101" s="8" t="n"/>
      <c r="Y101" s="8" t="n"/>
      <c r="Z101" s="8" t="n"/>
    </row>
    <row r="102" ht="13.5" customHeight="1" s="1">
      <c r="A102" s="8" t="n"/>
      <c r="B102" s="15" t="n"/>
      <c r="C102" s="8" t="n"/>
      <c r="D102" s="8" t="n"/>
      <c r="E102" s="16" t="n"/>
      <c r="F102" s="16" t="n"/>
      <c r="G102" s="16" t="n"/>
      <c r="H102" s="16" t="n"/>
      <c r="I102" s="16" t="n"/>
      <c r="J102" s="17" t="n"/>
      <c r="K102" s="16" t="n"/>
      <c r="L102" s="16" t="n"/>
      <c r="M102" s="16" t="n"/>
      <c r="N102" s="16" t="n"/>
      <c r="O102" s="16" t="n"/>
      <c r="P102" s="8" t="n"/>
      <c r="Q102" s="8" t="n"/>
      <c r="R102" s="8" t="n"/>
      <c r="S102" s="8" t="n"/>
      <c r="T102" s="8" t="n"/>
      <c r="U102" s="8" t="n"/>
      <c r="V102" s="8" t="n"/>
      <c r="W102" s="8" t="n"/>
      <c r="X102" s="8" t="n"/>
      <c r="Y102" s="8" t="n"/>
      <c r="Z102" s="8" t="n"/>
    </row>
    <row r="103" ht="13.5" customHeight="1" s="1">
      <c r="A103" s="8" t="n"/>
      <c r="B103" s="15" t="n"/>
      <c r="C103" s="8" t="n"/>
      <c r="D103" s="8" t="n"/>
      <c r="E103" s="16" t="n"/>
      <c r="F103" s="16" t="n"/>
      <c r="G103" s="16" t="n"/>
      <c r="H103" s="16" t="n"/>
      <c r="I103" s="16" t="n"/>
      <c r="J103" s="17" t="n"/>
      <c r="K103" s="16" t="n"/>
      <c r="L103" s="16" t="n"/>
      <c r="M103" s="16" t="n"/>
      <c r="N103" s="16" t="n"/>
      <c r="O103" s="16" t="n"/>
      <c r="P103" s="8" t="n"/>
      <c r="Q103" s="8" t="n"/>
      <c r="R103" s="8" t="n"/>
      <c r="S103" s="8" t="n"/>
      <c r="T103" s="8" t="n"/>
      <c r="U103" s="8" t="n"/>
      <c r="V103" s="8" t="n"/>
      <c r="W103" s="8" t="n"/>
      <c r="X103" s="8" t="n"/>
      <c r="Y103" s="8" t="n"/>
      <c r="Z103" s="8" t="n"/>
    </row>
    <row r="104" ht="13.5" customHeight="1" s="1">
      <c r="A104" s="8" t="n"/>
      <c r="B104" s="15" t="n"/>
      <c r="C104" s="8" t="n"/>
      <c r="D104" s="8" t="n"/>
      <c r="E104" s="16" t="n"/>
      <c r="F104" s="16" t="n"/>
      <c r="G104" s="16" t="n"/>
      <c r="H104" s="16" t="n"/>
      <c r="I104" s="16" t="n"/>
      <c r="J104" s="17" t="n"/>
      <c r="K104" s="16" t="n"/>
      <c r="L104" s="16" t="n"/>
      <c r="M104" s="16" t="n"/>
      <c r="N104" s="16" t="n"/>
      <c r="O104" s="16" t="n"/>
      <c r="P104" s="8" t="n"/>
      <c r="Q104" s="8" t="n"/>
      <c r="R104" s="8" t="n"/>
      <c r="S104" s="8" t="n"/>
      <c r="T104" s="8" t="n"/>
      <c r="U104" s="8" t="n"/>
      <c r="V104" s="8" t="n"/>
      <c r="W104" s="8" t="n"/>
      <c r="X104" s="8" t="n"/>
      <c r="Y104" s="8" t="n"/>
      <c r="Z104" s="8" t="n"/>
    </row>
    <row r="105" ht="13.5" customHeight="1" s="1">
      <c r="A105" s="8" t="n"/>
      <c r="B105" s="15" t="n"/>
      <c r="C105" s="8" t="n"/>
      <c r="D105" s="8" t="n"/>
      <c r="E105" s="16" t="n"/>
      <c r="F105" s="16" t="n"/>
      <c r="G105" s="16" t="n"/>
      <c r="H105" s="16" t="n"/>
      <c r="I105" s="16" t="n"/>
      <c r="J105" s="17" t="n"/>
      <c r="K105" s="16" t="n"/>
      <c r="L105" s="16" t="n"/>
      <c r="M105" s="16" t="n"/>
      <c r="N105" s="16" t="n"/>
      <c r="O105" s="16" t="n"/>
      <c r="P105" s="8" t="n"/>
      <c r="Q105" s="8" t="n"/>
      <c r="R105" s="8" t="n"/>
      <c r="S105" s="8" t="n"/>
      <c r="T105" s="8" t="n"/>
      <c r="U105" s="8" t="n"/>
      <c r="V105" s="8" t="n"/>
      <c r="W105" s="8" t="n"/>
      <c r="X105" s="8" t="n"/>
      <c r="Y105" s="8" t="n"/>
      <c r="Z105" s="8" t="n"/>
    </row>
    <row r="106" ht="13.5" customHeight="1" s="1">
      <c r="A106" s="8" t="n"/>
      <c r="B106" s="15" t="n"/>
      <c r="C106" s="8" t="n"/>
      <c r="D106" s="8" t="n"/>
      <c r="E106" s="16" t="n"/>
      <c r="F106" s="16" t="n"/>
      <c r="G106" s="16" t="n"/>
      <c r="H106" s="16" t="n"/>
      <c r="I106" s="16" t="n"/>
      <c r="J106" s="17" t="n"/>
      <c r="K106" s="16" t="n"/>
      <c r="L106" s="16" t="n"/>
      <c r="M106" s="16" t="n"/>
      <c r="N106" s="16" t="n"/>
      <c r="O106" s="16" t="n"/>
      <c r="P106" s="8" t="n"/>
      <c r="Q106" s="8" t="n"/>
      <c r="R106" s="8" t="n"/>
      <c r="S106" s="8" t="n"/>
      <c r="T106" s="8" t="n"/>
      <c r="U106" s="8" t="n"/>
      <c r="V106" s="8" t="n"/>
      <c r="W106" s="8" t="n"/>
      <c r="X106" s="8" t="n"/>
      <c r="Y106" s="8" t="n"/>
      <c r="Z106" s="8" t="n"/>
    </row>
    <row r="107" ht="13.5" customHeight="1" s="1">
      <c r="A107" s="8" t="n"/>
      <c r="B107" s="15" t="n"/>
      <c r="C107" s="8" t="n"/>
      <c r="D107" s="8" t="n"/>
      <c r="E107" s="16" t="n"/>
      <c r="F107" s="16" t="n"/>
      <c r="G107" s="16" t="n"/>
      <c r="H107" s="16" t="n"/>
      <c r="I107" s="16" t="n"/>
      <c r="J107" s="17" t="n"/>
      <c r="K107" s="16" t="n"/>
      <c r="L107" s="16" t="n"/>
      <c r="M107" s="16" t="n"/>
      <c r="N107" s="16" t="n"/>
      <c r="O107" s="16" t="n"/>
      <c r="P107" s="8" t="n"/>
      <c r="Q107" s="8" t="n"/>
      <c r="R107" s="8" t="n"/>
      <c r="S107" s="8" t="n"/>
      <c r="T107" s="8" t="n"/>
      <c r="U107" s="8" t="n"/>
      <c r="V107" s="8" t="n"/>
      <c r="W107" s="8" t="n"/>
      <c r="X107" s="8" t="n"/>
      <c r="Y107" s="8" t="n"/>
      <c r="Z107" s="8" t="n"/>
    </row>
    <row r="108" ht="13.5" customHeight="1" s="1">
      <c r="A108" s="8" t="n"/>
      <c r="B108" s="15" t="n"/>
      <c r="C108" s="8" t="n"/>
      <c r="D108" s="8" t="n"/>
      <c r="E108" s="16" t="n"/>
      <c r="F108" s="16" t="n"/>
      <c r="G108" s="16" t="n"/>
      <c r="H108" s="16" t="n"/>
      <c r="I108" s="16" t="n"/>
      <c r="J108" s="17" t="n"/>
      <c r="K108" s="16" t="n"/>
      <c r="L108" s="16" t="n"/>
      <c r="M108" s="16" t="n"/>
      <c r="N108" s="16" t="n"/>
      <c r="O108" s="16" t="n"/>
      <c r="P108" s="8" t="n"/>
      <c r="Q108" s="8" t="n"/>
      <c r="R108" s="8" t="n"/>
      <c r="S108" s="8" t="n"/>
      <c r="T108" s="8" t="n"/>
      <c r="U108" s="8" t="n"/>
      <c r="V108" s="8" t="n"/>
      <c r="W108" s="8" t="n"/>
      <c r="X108" s="8" t="n"/>
      <c r="Y108" s="8" t="n"/>
      <c r="Z108" s="8" t="n"/>
    </row>
    <row r="109" ht="13.5" customHeight="1" s="1">
      <c r="A109" s="8" t="n"/>
      <c r="B109" s="15" t="n"/>
      <c r="C109" s="8" t="n"/>
      <c r="D109" s="8" t="n"/>
      <c r="E109" s="16" t="n"/>
      <c r="F109" s="16" t="n"/>
      <c r="G109" s="16" t="n"/>
      <c r="H109" s="16" t="n"/>
      <c r="I109" s="16" t="n"/>
      <c r="J109" s="17" t="n"/>
      <c r="K109" s="16" t="n"/>
      <c r="L109" s="16" t="n"/>
      <c r="M109" s="16" t="n"/>
      <c r="N109" s="16" t="n"/>
      <c r="O109" s="16" t="n"/>
      <c r="P109" s="8" t="n"/>
      <c r="Q109" s="8" t="n"/>
      <c r="R109" s="8" t="n"/>
      <c r="S109" s="8" t="n"/>
      <c r="T109" s="8" t="n"/>
      <c r="U109" s="8" t="n"/>
      <c r="V109" s="8" t="n"/>
      <c r="W109" s="8" t="n"/>
      <c r="X109" s="8" t="n"/>
      <c r="Y109" s="8" t="n"/>
      <c r="Z109" s="8" t="n"/>
    </row>
    <row r="110" ht="13.5" customHeight="1" s="1">
      <c r="A110" s="8" t="n"/>
      <c r="B110" s="15" t="n"/>
      <c r="C110" s="8" t="n"/>
      <c r="D110" s="8" t="n"/>
      <c r="E110" s="16" t="n"/>
      <c r="F110" s="16" t="n"/>
      <c r="G110" s="16" t="n"/>
      <c r="H110" s="16" t="n"/>
      <c r="I110" s="16" t="n"/>
      <c r="J110" s="17" t="n"/>
      <c r="K110" s="16" t="n"/>
      <c r="L110" s="16" t="n"/>
      <c r="M110" s="16" t="n"/>
      <c r="N110" s="16" t="n"/>
      <c r="O110" s="16" t="n"/>
      <c r="P110" s="8" t="n"/>
      <c r="Q110" s="8" t="n"/>
      <c r="R110" s="8" t="n"/>
      <c r="S110" s="8" t="n"/>
      <c r="T110" s="8" t="n"/>
      <c r="U110" s="8" t="n"/>
      <c r="V110" s="8" t="n"/>
      <c r="W110" s="8" t="n"/>
      <c r="X110" s="8" t="n"/>
      <c r="Y110" s="8" t="n"/>
      <c r="Z110" s="8" t="n"/>
    </row>
    <row r="111" ht="13.5" customHeight="1" s="1">
      <c r="A111" s="8" t="n"/>
      <c r="B111" s="15" t="n"/>
      <c r="C111" s="8" t="n"/>
      <c r="D111" s="8" t="n"/>
      <c r="E111" s="16" t="n"/>
      <c r="F111" s="16" t="n"/>
      <c r="G111" s="16" t="n"/>
      <c r="H111" s="16" t="n"/>
      <c r="I111" s="16" t="n"/>
      <c r="J111" s="17" t="n"/>
      <c r="K111" s="16" t="n"/>
      <c r="L111" s="16" t="n"/>
      <c r="M111" s="16" t="n"/>
      <c r="N111" s="16" t="n"/>
      <c r="O111" s="16" t="n"/>
      <c r="P111" s="8" t="n"/>
      <c r="Q111" s="8" t="n"/>
      <c r="R111" s="8" t="n"/>
      <c r="S111" s="8" t="n"/>
      <c r="T111" s="8" t="n"/>
      <c r="U111" s="8" t="n"/>
      <c r="V111" s="8" t="n"/>
      <c r="W111" s="8" t="n"/>
      <c r="X111" s="8" t="n"/>
      <c r="Y111" s="8" t="n"/>
      <c r="Z111" s="8" t="n"/>
    </row>
    <row r="112" ht="13.5" customHeight="1" s="1">
      <c r="A112" s="8" t="n"/>
      <c r="B112" s="15" t="n"/>
      <c r="C112" s="8" t="n"/>
      <c r="D112" s="8" t="n"/>
      <c r="E112" s="16" t="n"/>
      <c r="F112" s="16" t="n"/>
      <c r="G112" s="16" t="n"/>
      <c r="H112" s="16" t="n"/>
      <c r="I112" s="16" t="n"/>
      <c r="J112" s="17" t="n"/>
      <c r="K112" s="16" t="n"/>
      <c r="L112" s="16" t="n"/>
      <c r="M112" s="16" t="n"/>
      <c r="N112" s="16" t="n"/>
      <c r="O112" s="16" t="n"/>
      <c r="P112" s="8" t="n"/>
      <c r="Q112" s="8" t="n"/>
      <c r="R112" s="8" t="n"/>
      <c r="S112" s="8" t="n"/>
      <c r="T112" s="8" t="n"/>
      <c r="U112" s="8" t="n"/>
      <c r="V112" s="8" t="n"/>
      <c r="W112" s="8" t="n"/>
      <c r="X112" s="8" t="n"/>
      <c r="Y112" s="8" t="n"/>
      <c r="Z112" s="8" t="n"/>
    </row>
    <row r="113" ht="13.5" customHeight="1" s="1">
      <c r="A113" s="8" t="n"/>
      <c r="B113" s="15" t="n"/>
      <c r="C113" s="8" t="n"/>
      <c r="D113" s="8" t="n"/>
      <c r="E113" s="16" t="n"/>
      <c r="F113" s="16" t="n"/>
      <c r="G113" s="16" t="n"/>
      <c r="H113" s="16" t="n"/>
      <c r="I113" s="16" t="n"/>
      <c r="J113" s="17" t="n"/>
      <c r="K113" s="16" t="n"/>
      <c r="L113" s="16" t="n"/>
      <c r="M113" s="16" t="n"/>
      <c r="N113" s="16" t="n"/>
      <c r="O113" s="16" t="n"/>
      <c r="P113" s="8" t="n"/>
      <c r="Q113" s="8" t="n"/>
      <c r="R113" s="8" t="n"/>
      <c r="S113" s="8" t="n"/>
      <c r="T113" s="8" t="n"/>
      <c r="U113" s="8" t="n"/>
      <c r="V113" s="8" t="n"/>
      <c r="W113" s="8" t="n"/>
      <c r="X113" s="8" t="n"/>
      <c r="Y113" s="8" t="n"/>
      <c r="Z113" s="8" t="n"/>
    </row>
    <row r="114" ht="13.5" customHeight="1" s="1">
      <c r="A114" s="8" t="n"/>
      <c r="B114" s="15" t="n"/>
      <c r="C114" s="8" t="n"/>
      <c r="D114" s="8" t="n"/>
      <c r="E114" s="16" t="n"/>
      <c r="F114" s="16" t="n"/>
      <c r="G114" s="16" t="n"/>
      <c r="H114" s="16" t="n"/>
      <c r="I114" s="16" t="n"/>
      <c r="J114" s="17" t="n"/>
      <c r="K114" s="16" t="n"/>
      <c r="L114" s="16" t="n"/>
      <c r="M114" s="16" t="n"/>
      <c r="N114" s="16" t="n"/>
      <c r="O114" s="16" t="n"/>
      <c r="P114" s="8" t="n"/>
      <c r="Q114" s="8" t="n"/>
      <c r="R114" s="8" t="n"/>
      <c r="S114" s="8" t="n"/>
      <c r="T114" s="8" t="n"/>
      <c r="U114" s="8" t="n"/>
      <c r="V114" s="8" t="n"/>
      <c r="W114" s="8" t="n"/>
      <c r="X114" s="8" t="n"/>
      <c r="Y114" s="8" t="n"/>
      <c r="Z114" s="8" t="n"/>
    </row>
    <row r="115" ht="13.5" customHeight="1" s="1">
      <c r="A115" s="8" t="n"/>
      <c r="B115" s="15" t="n"/>
      <c r="C115" s="8" t="n"/>
      <c r="D115" s="8" t="n"/>
      <c r="E115" s="16" t="n"/>
      <c r="F115" s="16" t="n"/>
      <c r="G115" s="16" t="n"/>
      <c r="H115" s="16" t="n"/>
      <c r="I115" s="16" t="n"/>
      <c r="J115" s="17" t="n"/>
      <c r="K115" s="16" t="n"/>
      <c r="L115" s="16" t="n"/>
      <c r="M115" s="16" t="n"/>
      <c r="N115" s="16" t="n"/>
      <c r="O115" s="16" t="n"/>
      <c r="P115" s="8" t="n"/>
      <c r="Q115" s="8" t="n"/>
      <c r="R115" s="8" t="n"/>
      <c r="S115" s="8" t="n"/>
      <c r="T115" s="8" t="n"/>
      <c r="U115" s="8" t="n"/>
      <c r="V115" s="8" t="n"/>
      <c r="W115" s="8" t="n"/>
      <c r="X115" s="8" t="n"/>
      <c r="Y115" s="8" t="n"/>
      <c r="Z115" s="8" t="n"/>
    </row>
    <row r="116" ht="13.5" customHeight="1" s="1">
      <c r="A116" s="8" t="n"/>
      <c r="B116" s="15" t="n"/>
      <c r="C116" s="8" t="n"/>
      <c r="D116" s="8" t="n"/>
      <c r="E116" s="16" t="n"/>
      <c r="F116" s="16" t="n"/>
      <c r="G116" s="16" t="n"/>
      <c r="H116" s="16" t="n"/>
      <c r="I116" s="16" t="n"/>
      <c r="J116" s="17" t="n"/>
      <c r="K116" s="16" t="n"/>
      <c r="L116" s="16" t="n"/>
      <c r="M116" s="16" t="n"/>
      <c r="N116" s="16" t="n"/>
      <c r="O116" s="16" t="n"/>
      <c r="P116" s="8" t="n"/>
      <c r="Q116" s="8" t="n"/>
      <c r="R116" s="8" t="n"/>
      <c r="S116" s="8" t="n"/>
      <c r="T116" s="8" t="n"/>
      <c r="U116" s="8" t="n"/>
      <c r="V116" s="8" t="n"/>
      <c r="W116" s="8" t="n"/>
      <c r="X116" s="8" t="n"/>
      <c r="Y116" s="8" t="n"/>
      <c r="Z116" s="8" t="n"/>
    </row>
    <row r="117" ht="13.5" customHeight="1" s="1">
      <c r="A117" s="8" t="n"/>
      <c r="B117" s="15" t="n"/>
      <c r="C117" s="8" t="n"/>
      <c r="D117" s="8" t="n"/>
      <c r="E117" s="16" t="n"/>
      <c r="F117" s="16" t="n"/>
      <c r="G117" s="16" t="n"/>
      <c r="H117" s="16" t="n"/>
      <c r="I117" s="16" t="n"/>
      <c r="J117" s="17" t="n"/>
      <c r="K117" s="16" t="n"/>
      <c r="L117" s="16" t="n"/>
      <c r="M117" s="16" t="n"/>
      <c r="N117" s="16" t="n"/>
      <c r="O117" s="16" t="n"/>
      <c r="P117" s="8" t="n"/>
      <c r="Q117" s="8" t="n"/>
      <c r="R117" s="8" t="n"/>
      <c r="S117" s="8" t="n"/>
      <c r="T117" s="8" t="n"/>
      <c r="U117" s="8" t="n"/>
      <c r="V117" s="8" t="n"/>
      <c r="W117" s="8" t="n"/>
      <c r="X117" s="8" t="n"/>
      <c r="Y117" s="8" t="n"/>
      <c r="Z117" s="8" t="n"/>
    </row>
    <row r="118" ht="13.5" customHeight="1" s="1">
      <c r="A118" s="8" t="n"/>
      <c r="B118" s="15" t="n"/>
      <c r="C118" s="8" t="n"/>
      <c r="D118" s="8" t="n"/>
      <c r="E118" s="16" t="n"/>
      <c r="F118" s="16" t="n"/>
      <c r="G118" s="16" t="n"/>
      <c r="H118" s="16" t="n"/>
      <c r="I118" s="16" t="n"/>
      <c r="J118" s="17" t="n"/>
      <c r="K118" s="16" t="n"/>
      <c r="L118" s="16" t="n"/>
      <c r="M118" s="16" t="n"/>
      <c r="N118" s="16" t="n"/>
      <c r="O118" s="16" t="n"/>
      <c r="P118" s="8" t="n"/>
      <c r="Q118" s="8" t="n"/>
      <c r="R118" s="8" t="n"/>
      <c r="S118" s="8" t="n"/>
      <c r="T118" s="8" t="n"/>
      <c r="U118" s="8" t="n"/>
      <c r="V118" s="8" t="n"/>
      <c r="W118" s="8" t="n"/>
      <c r="X118" s="8" t="n"/>
      <c r="Y118" s="8" t="n"/>
      <c r="Z118" s="8" t="n"/>
    </row>
    <row r="119" ht="13.5" customHeight="1" s="1">
      <c r="A119" s="8" t="n"/>
      <c r="B119" s="15" t="n"/>
      <c r="C119" s="8" t="n"/>
      <c r="D119" s="8" t="n"/>
      <c r="E119" s="16" t="n"/>
      <c r="F119" s="16" t="n"/>
      <c r="G119" s="16" t="n"/>
      <c r="H119" s="16" t="n"/>
      <c r="I119" s="16" t="n"/>
      <c r="J119" s="17" t="n"/>
      <c r="K119" s="16" t="n"/>
      <c r="L119" s="16" t="n"/>
      <c r="M119" s="16" t="n"/>
      <c r="N119" s="16" t="n"/>
      <c r="O119" s="16" t="n"/>
      <c r="P119" s="8" t="n"/>
      <c r="Q119" s="8" t="n"/>
      <c r="R119" s="8" t="n"/>
      <c r="S119" s="8" t="n"/>
      <c r="T119" s="8" t="n"/>
      <c r="U119" s="8" t="n"/>
      <c r="V119" s="8" t="n"/>
      <c r="W119" s="8" t="n"/>
      <c r="X119" s="8" t="n"/>
      <c r="Y119" s="8" t="n"/>
      <c r="Z119" s="8" t="n"/>
    </row>
    <row r="120" ht="13.5" customHeight="1" s="1">
      <c r="A120" s="8" t="n"/>
      <c r="B120" s="15" t="n"/>
      <c r="C120" s="8" t="n"/>
      <c r="D120" s="8" t="n"/>
      <c r="E120" s="16" t="n"/>
      <c r="F120" s="16" t="n"/>
      <c r="G120" s="16" t="n"/>
      <c r="H120" s="16" t="n"/>
      <c r="I120" s="16" t="n"/>
      <c r="J120" s="17" t="n"/>
      <c r="K120" s="16" t="n"/>
      <c r="L120" s="16" t="n"/>
      <c r="M120" s="16" t="n"/>
      <c r="N120" s="16" t="n"/>
      <c r="O120" s="16" t="n"/>
      <c r="P120" s="8" t="n"/>
      <c r="Q120" s="8" t="n"/>
      <c r="R120" s="8" t="n"/>
      <c r="S120" s="8" t="n"/>
      <c r="T120" s="8" t="n"/>
      <c r="U120" s="8" t="n"/>
      <c r="V120" s="8" t="n"/>
      <c r="W120" s="8" t="n"/>
      <c r="X120" s="8" t="n"/>
      <c r="Y120" s="8" t="n"/>
      <c r="Z120" s="8" t="n"/>
    </row>
    <row r="121" ht="13.5" customHeight="1" s="1">
      <c r="A121" s="8" t="n"/>
      <c r="B121" s="15" t="n"/>
      <c r="C121" s="8" t="n"/>
      <c r="D121" s="8" t="n"/>
      <c r="E121" s="16" t="n"/>
      <c r="F121" s="16" t="n"/>
      <c r="G121" s="16" t="n"/>
      <c r="H121" s="16" t="n"/>
      <c r="I121" s="16" t="n"/>
      <c r="J121" s="17" t="n"/>
      <c r="K121" s="16" t="n"/>
      <c r="L121" s="16" t="n"/>
      <c r="M121" s="16" t="n"/>
      <c r="N121" s="16" t="n"/>
      <c r="O121" s="16" t="n"/>
      <c r="P121" s="8" t="n"/>
      <c r="Q121" s="8" t="n"/>
      <c r="R121" s="8" t="n"/>
      <c r="S121" s="8" t="n"/>
      <c r="T121" s="8" t="n"/>
      <c r="U121" s="8" t="n"/>
      <c r="V121" s="8" t="n"/>
      <c r="W121" s="8" t="n"/>
      <c r="X121" s="8" t="n"/>
      <c r="Y121" s="8" t="n"/>
      <c r="Z121" s="8" t="n"/>
    </row>
    <row r="122" ht="13.5" customHeight="1" s="1">
      <c r="A122" s="8" t="n"/>
      <c r="B122" s="15" t="n"/>
      <c r="C122" s="8" t="n"/>
      <c r="D122" s="8" t="n"/>
      <c r="E122" s="16" t="n"/>
      <c r="F122" s="16" t="n"/>
      <c r="G122" s="16" t="n"/>
      <c r="H122" s="16" t="n"/>
      <c r="I122" s="16" t="n"/>
      <c r="J122" s="17" t="n"/>
      <c r="K122" s="16" t="n"/>
      <c r="L122" s="16" t="n"/>
      <c r="M122" s="16" t="n"/>
      <c r="N122" s="16" t="n"/>
      <c r="O122" s="16" t="n"/>
      <c r="P122" s="8" t="n"/>
      <c r="Q122" s="8" t="n"/>
      <c r="R122" s="8" t="n"/>
      <c r="S122" s="8" t="n"/>
      <c r="T122" s="8" t="n"/>
      <c r="U122" s="8" t="n"/>
      <c r="V122" s="8" t="n"/>
      <c r="W122" s="8" t="n"/>
      <c r="X122" s="8" t="n"/>
      <c r="Y122" s="8" t="n"/>
      <c r="Z122" s="8" t="n"/>
    </row>
    <row r="123" ht="13.5" customHeight="1" s="1">
      <c r="A123" s="8" t="n"/>
      <c r="B123" s="15" t="n"/>
      <c r="C123" s="8" t="n"/>
      <c r="D123" s="8" t="n"/>
      <c r="E123" s="16" t="n"/>
      <c r="F123" s="16" t="n"/>
      <c r="G123" s="16" t="n"/>
      <c r="H123" s="16" t="n"/>
      <c r="I123" s="16" t="n"/>
      <c r="J123" s="17" t="n"/>
      <c r="K123" s="16" t="n"/>
      <c r="L123" s="16" t="n"/>
      <c r="M123" s="16" t="n"/>
      <c r="N123" s="16" t="n"/>
      <c r="O123" s="16" t="n"/>
      <c r="P123" s="8" t="n"/>
      <c r="Q123" s="8" t="n"/>
      <c r="R123" s="8" t="n"/>
      <c r="S123" s="8" t="n"/>
      <c r="T123" s="8" t="n"/>
      <c r="U123" s="8" t="n"/>
      <c r="V123" s="8" t="n"/>
      <c r="W123" s="8" t="n"/>
      <c r="X123" s="8" t="n"/>
      <c r="Y123" s="8" t="n"/>
      <c r="Z123" s="8" t="n"/>
    </row>
    <row r="124" ht="13.5" customHeight="1" s="1">
      <c r="A124" s="8" t="n"/>
      <c r="B124" s="15" t="n"/>
      <c r="C124" s="8" t="n"/>
      <c r="D124" s="8" t="n"/>
      <c r="E124" s="16" t="n"/>
      <c r="F124" s="16" t="n"/>
      <c r="G124" s="16" t="n"/>
      <c r="H124" s="16" t="n"/>
      <c r="I124" s="16" t="n"/>
      <c r="J124" s="17" t="n"/>
      <c r="K124" s="16" t="n"/>
      <c r="L124" s="16" t="n"/>
      <c r="M124" s="16" t="n"/>
      <c r="N124" s="16" t="n"/>
      <c r="O124" s="16" t="n"/>
      <c r="P124" s="8" t="n"/>
      <c r="Q124" s="8" t="n"/>
      <c r="R124" s="8" t="n"/>
      <c r="S124" s="8" t="n"/>
      <c r="T124" s="8" t="n"/>
      <c r="U124" s="8" t="n"/>
      <c r="V124" s="8" t="n"/>
      <c r="W124" s="8" t="n"/>
      <c r="X124" s="8" t="n"/>
      <c r="Y124" s="8" t="n"/>
      <c r="Z124" s="8" t="n"/>
    </row>
    <row r="125" ht="13.5" customHeight="1" s="1">
      <c r="A125" s="8" t="n"/>
      <c r="B125" s="15" t="n"/>
      <c r="C125" s="8" t="n"/>
      <c r="D125" s="8" t="n"/>
      <c r="E125" s="16" t="n"/>
      <c r="F125" s="16" t="n"/>
      <c r="G125" s="16" t="n"/>
      <c r="H125" s="16" t="n"/>
      <c r="I125" s="16" t="n"/>
      <c r="J125" s="17" t="n"/>
      <c r="K125" s="16" t="n"/>
      <c r="L125" s="16" t="n"/>
      <c r="M125" s="16" t="n"/>
      <c r="N125" s="16" t="n"/>
      <c r="O125" s="16" t="n"/>
      <c r="P125" s="8" t="n"/>
      <c r="Q125" s="8" t="n"/>
      <c r="R125" s="8" t="n"/>
      <c r="S125" s="8" t="n"/>
      <c r="T125" s="8" t="n"/>
      <c r="U125" s="8" t="n"/>
      <c r="V125" s="8" t="n"/>
      <c r="W125" s="8" t="n"/>
      <c r="X125" s="8" t="n"/>
      <c r="Y125" s="8" t="n"/>
      <c r="Z125" s="8" t="n"/>
    </row>
    <row r="126" ht="13.5" customHeight="1" s="1">
      <c r="A126" s="8" t="n"/>
      <c r="B126" s="15" t="n"/>
      <c r="C126" s="8" t="n"/>
      <c r="D126" s="8" t="n"/>
      <c r="E126" s="16" t="n"/>
      <c r="F126" s="16" t="n"/>
      <c r="G126" s="16" t="n"/>
      <c r="H126" s="16" t="n"/>
      <c r="I126" s="16" t="n"/>
      <c r="J126" s="17" t="n"/>
      <c r="K126" s="16" t="n"/>
      <c r="L126" s="16" t="n"/>
      <c r="M126" s="16" t="n"/>
      <c r="N126" s="16" t="n"/>
      <c r="O126" s="16" t="n"/>
      <c r="P126" s="8" t="n"/>
      <c r="Q126" s="8" t="n"/>
      <c r="R126" s="8" t="n"/>
      <c r="S126" s="8" t="n"/>
      <c r="T126" s="8" t="n"/>
      <c r="U126" s="8" t="n"/>
      <c r="V126" s="8" t="n"/>
      <c r="W126" s="8" t="n"/>
      <c r="X126" s="8" t="n"/>
      <c r="Y126" s="8" t="n"/>
      <c r="Z126" s="8" t="n"/>
    </row>
    <row r="127" ht="13.5" customHeight="1" s="1">
      <c r="A127" s="8" t="n"/>
      <c r="B127" s="15" t="n"/>
      <c r="C127" s="8" t="n"/>
      <c r="D127" s="8" t="n"/>
      <c r="E127" s="16" t="n"/>
      <c r="F127" s="16" t="n"/>
      <c r="G127" s="16" t="n"/>
      <c r="H127" s="16" t="n"/>
      <c r="I127" s="16" t="n"/>
      <c r="J127" s="17" t="n"/>
      <c r="K127" s="16" t="n"/>
      <c r="L127" s="16" t="n"/>
      <c r="M127" s="16" t="n"/>
      <c r="N127" s="16" t="n"/>
      <c r="O127" s="16" t="n"/>
      <c r="P127" s="8" t="n"/>
      <c r="Q127" s="8" t="n"/>
      <c r="R127" s="8" t="n"/>
      <c r="S127" s="8" t="n"/>
      <c r="T127" s="8" t="n"/>
      <c r="U127" s="8" t="n"/>
      <c r="V127" s="8" t="n"/>
      <c r="W127" s="8" t="n"/>
      <c r="X127" s="8" t="n"/>
      <c r="Y127" s="8" t="n"/>
      <c r="Z127" s="8" t="n"/>
    </row>
    <row r="128" ht="13.5" customHeight="1" s="1">
      <c r="A128" s="8" t="n"/>
      <c r="B128" s="15" t="n"/>
      <c r="C128" s="8" t="n"/>
      <c r="D128" s="8" t="n"/>
      <c r="E128" s="16" t="n"/>
      <c r="F128" s="16" t="n"/>
      <c r="G128" s="16" t="n"/>
      <c r="H128" s="16" t="n"/>
      <c r="I128" s="16" t="n"/>
      <c r="J128" s="17" t="n"/>
      <c r="K128" s="16" t="n"/>
      <c r="L128" s="16" t="n"/>
      <c r="M128" s="16" t="n"/>
      <c r="N128" s="16" t="n"/>
      <c r="O128" s="16" t="n"/>
      <c r="P128" s="8" t="n"/>
      <c r="Q128" s="8" t="n"/>
      <c r="R128" s="8" t="n"/>
      <c r="S128" s="8" t="n"/>
      <c r="T128" s="8" t="n"/>
      <c r="U128" s="8" t="n"/>
      <c r="V128" s="8" t="n"/>
      <c r="W128" s="8" t="n"/>
      <c r="X128" s="8" t="n"/>
      <c r="Y128" s="8" t="n"/>
      <c r="Z128" s="8" t="n"/>
    </row>
    <row r="129" ht="13.5" customHeight="1" s="1">
      <c r="A129" s="8" t="n"/>
      <c r="B129" s="15" t="n"/>
      <c r="C129" s="8" t="n"/>
      <c r="D129" s="8" t="n"/>
      <c r="E129" s="16" t="n"/>
      <c r="F129" s="16" t="n"/>
      <c r="G129" s="16" t="n"/>
      <c r="H129" s="16" t="n"/>
      <c r="I129" s="16" t="n"/>
      <c r="J129" s="17" t="n"/>
      <c r="K129" s="16" t="n"/>
      <c r="L129" s="16" t="n"/>
      <c r="M129" s="16" t="n"/>
      <c r="N129" s="16" t="n"/>
      <c r="O129" s="16" t="n"/>
      <c r="P129" s="8" t="n"/>
      <c r="Q129" s="8" t="n"/>
      <c r="R129" s="8" t="n"/>
      <c r="S129" s="8" t="n"/>
      <c r="T129" s="8" t="n"/>
      <c r="U129" s="8" t="n"/>
      <c r="V129" s="8" t="n"/>
      <c r="W129" s="8" t="n"/>
      <c r="X129" s="8" t="n"/>
      <c r="Y129" s="8" t="n"/>
      <c r="Z129" s="8" t="n"/>
    </row>
    <row r="130" ht="13.5" customHeight="1" s="1">
      <c r="A130" s="8" t="n"/>
      <c r="B130" s="15" t="n"/>
      <c r="C130" s="8" t="n"/>
      <c r="D130" s="8" t="n"/>
      <c r="E130" s="16" t="n"/>
      <c r="F130" s="16" t="n"/>
      <c r="G130" s="16" t="n"/>
      <c r="H130" s="16" t="n"/>
      <c r="I130" s="16" t="n"/>
      <c r="J130" s="17" t="n"/>
      <c r="K130" s="16" t="n"/>
      <c r="L130" s="16" t="n"/>
      <c r="M130" s="16" t="n"/>
      <c r="N130" s="16" t="n"/>
      <c r="O130" s="16" t="n"/>
      <c r="P130" s="8" t="n"/>
      <c r="Q130" s="8" t="n"/>
      <c r="R130" s="8" t="n"/>
      <c r="S130" s="8" t="n"/>
      <c r="T130" s="8" t="n"/>
      <c r="U130" s="8" t="n"/>
      <c r="V130" s="8" t="n"/>
      <c r="W130" s="8" t="n"/>
      <c r="X130" s="8" t="n"/>
      <c r="Y130" s="8" t="n"/>
      <c r="Z130" s="8" t="n"/>
    </row>
    <row r="131" ht="13.5" customHeight="1" s="1">
      <c r="A131" s="8" t="n"/>
      <c r="B131" s="15" t="n"/>
      <c r="C131" s="8" t="n"/>
      <c r="D131" s="8" t="n"/>
      <c r="E131" s="16" t="n"/>
      <c r="F131" s="16" t="n"/>
      <c r="G131" s="16" t="n"/>
      <c r="H131" s="16" t="n"/>
      <c r="I131" s="16" t="n"/>
      <c r="J131" s="17" t="n"/>
      <c r="K131" s="16" t="n"/>
      <c r="L131" s="16" t="n"/>
      <c r="M131" s="16" t="n"/>
      <c r="N131" s="16" t="n"/>
      <c r="O131" s="16" t="n"/>
      <c r="P131" s="8" t="n"/>
      <c r="Q131" s="8" t="n"/>
      <c r="R131" s="8" t="n"/>
      <c r="S131" s="8" t="n"/>
      <c r="T131" s="8" t="n"/>
      <c r="U131" s="8" t="n"/>
      <c r="V131" s="8" t="n"/>
      <c r="W131" s="8" t="n"/>
      <c r="X131" s="8" t="n"/>
      <c r="Y131" s="8" t="n"/>
      <c r="Z131" s="8" t="n"/>
    </row>
    <row r="132" ht="13.5" customHeight="1" s="1">
      <c r="A132" s="8" t="n"/>
      <c r="B132" s="15" t="n"/>
      <c r="C132" s="8" t="n"/>
      <c r="D132" s="8" t="n"/>
      <c r="E132" s="16" t="n"/>
      <c r="F132" s="16" t="n"/>
      <c r="G132" s="16" t="n"/>
      <c r="H132" s="16" t="n"/>
      <c r="I132" s="16" t="n"/>
      <c r="J132" s="17" t="n"/>
      <c r="K132" s="16" t="n"/>
      <c r="L132" s="16" t="n"/>
      <c r="M132" s="16" t="n"/>
      <c r="N132" s="16" t="n"/>
      <c r="O132" s="16" t="n"/>
      <c r="P132" s="8" t="n"/>
      <c r="Q132" s="8" t="n"/>
      <c r="R132" s="8" t="n"/>
      <c r="S132" s="8" t="n"/>
      <c r="T132" s="8" t="n"/>
      <c r="U132" s="8" t="n"/>
      <c r="V132" s="8" t="n"/>
      <c r="W132" s="8" t="n"/>
      <c r="X132" s="8" t="n"/>
      <c r="Y132" s="8" t="n"/>
      <c r="Z132" s="8" t="n"/>
    </row>
    <row r="133" ht="13.5" customHeight="1" s="1">
      <c r="A133" s="8" t="n"/>
      <c r="B133" s="15" t="n"/>
      <c r="C133" s="8" t="n"/>
      <c r="D133" s="8" t="n"/>
      <c r="E133" s="16" t="n"/>
      <c r="F133" s="16" t="n"/>
      <c r="G133" s="16" t="n"/>
      <c r="H133" s="16" t="n"/>
      <c r="I133" s="16" t="n"/>
      <c r="J133" s="17" t="n"/>
      <c r="K133" s="16" t="n"/>
      <c r="L133" s="16" t="n"/>
      <c r="M133" s="16" t="n"/>
      <c r="N133" s="16" t="n"/>
      <c r="O133" s="16" t="n"/>
      <c r="P133" s="8" t="n"/>
      <c r="Q133" s="8" t="n"/>
      <c r="R133" s="8" t="n"/>
      <c r="S133" s="8" t="n"/>
      <c r="T133" s="8" t="n"/>
      <c r="U133" s="8" t="n"/>
      <c r="V133" s="8" t="n"/>
      <c r="W133" s="8" t="n"/>
      <c r="X133" s="8" t="n"/>
      <c r="Y133" s="8" t="n"/>
      <c r="Z133" s="8" t="n"/>
    </row>
    <row r="134" ht="13.5" customHeight="1" s="1">
      <c r="A134" s="8" t="n"/>
      <c r="B134" s="15" t="n"/>
      <c r="C134" s="8" t="n"/>
      <c r="D134" s="8" t="n"/>
      <c r="E134" s="16" t="n"/>
      <c r="F134" s="16" t="n"/>
      <c r="G134" s="16" t="n"/>
      <c r="H134" s="16" t="n"/>
      <c r="I134" s="16" t="n"/>
      <c r="J134" s="17" t="n"/>
      <c r="K134" s="16" t="n"/>
      <c r="L134" s="16" t="n"/>
      <c r="M134" s="16" t="n"/>
      <c r="N134" s="16" t="n"/>
      <c r="O134" s="16" t="n"/>
      <c r="P134" s="8" t="n"/>
      <c r="Q134" s="8" t="n"/>
      <c r="R134" s="8" t="n"/>
      <c r="S134" s="8" t="n"/>
      <c r="T134" s="8" t="n"/>
      <c r="U134" s="8" t="n"/>
      <c r="V134" s="8" t="n"/>
      <c r="W134" s="8" t="n"/>
      <c r="X134" s="8" t="n"/>
      <c r="Y134" s="8" t="n"/>
      <c r="Z134" s="8" t="n"/>
    </row>
    <row r="135" ht="13.5" customHeight="1" s="1">
      <c r="A135" s="8" t="n"/>
      <c r="B135" s="15" t="n"/>
      <c r="C135" s="8" t="n"/>
      <c r="D135" s="8" t="n"/>
      <c r="E135" s="16" t="n"/>
      <c r="F135" s="16" t="n"/>
      <c r="G135" s="16" t="n"/>
      <c r="H135" s="16" t="n"/>
      <c r="I135" s="16" t="n"/>
      <c r="J135" s="17" t="n"/>
      <c r="K135" s="16" t="n"/>
      <c r="L135" s="16" t="n"/>
      <c r="M135" s="16" t="n"/>
      <c r="N135" s="16" t="n"/>
      <c r="O135" s="16" t="n"/>
      <c r="P135" s="8" t="n"/>
      <c r="Q135" s="8" t="n"/>
      <c r="R135" s="8" t="n"/>
      <c r="S135" s="8" t="n"/>
      <c r="T135" s="8" t="n"/>
      <c r="U135" s="8" t="n"/>
      <c r="V135" s="8" t="n"/>
      <c r="W135" s="8" t="n"/>
      <c r="X135" s="8" t="n"/>
      <c r="Y135" s="8" t="n"/>
      <c r="Z135" s="8" t="n"/>
    </row>
    <row r="136" ht="13.5" customHeight="1" s="1">
      <c r="A136" s="8" t="n"/>
      <c r="B136" s="15" t="n"/>
      <c r="C136" s="8" t="n"/>
      <c r="D136" s="8" t="n"/>
      <c r="E136" s="16" t="n"/>
      <c r="F136" s="16" t="n"/>
      <c r="G136" s="16" t="n"/>
      <c r="H136" s="16" t="n"/>
      <c r="I136" s="16" t="n"/>
      <c r="J136" s="17" t="n"/>
      <c r="K136" s="16" t="n"/>
      <c r="L136" s="16" t="n"/>
      <c r="M136" s="16" t="n"/>
      <c r="N136" s="16" t="n"/>
      <c r="O136" s="16" t="n"/>
      <c r="P136" s="8" t="n"/>
      <c r="Q136" s="8" t="n"/>
      <c r="R136" s="8" t="n"/>
      <c r="S136" s="8" t="n"/>
      <c r="T136" s="8" t="n"/>
      <c r="U136" s="8" t="n"/>
      <c r="V136" s="8" t="n"/>
      <c r="W136" s="8" t="n"/>
      <c r="X136" s="8" t="n"/>
      <c r="Y136" s="8" t="n"/>
      <c r="Z136" s="8" t="n"/>
    </row>
    <row r="137" ht="13.5" customHeight="1" s="1">
      <c r="A137" s="8" t="n"/>
      <c r="B137" s="15" t="n"/>
      <c r="C137" s="8" t="n"/>
      <c r="D137" s="8" t="n"/>
      <c r="E137" s="16" t="n"/>
      <c r="F137" s="16" t="n"/>
      <c r="G137" s="16" t="n"/>
      <c r="H137" s="16" t="n"/>
      <c r="I137" s="16" t="n"/>
      <c r="J137" s="17" t="n"/>
      <c r="K137" s="16" t="n"/>
      <c r="L137" s="16" t="n"/>
      <c r="M137" s="16" t="n"/>
      <c r="N137" s="16" t="n"/>
      <c r="O137" s="16" t="n"/>
      <c r="P137" s="8" t="n"/>
      <c r="Q137" s="8" t="n"/>
      <c r="R137" s="8" t="n"/>
      <c r="S137" s="8" t="n"/>
      <c r="T137" s="8" t="n"/>
      <c r="U137" s="8" t="n"/>
      <c r="V137" s="8" t="n"/>
      <c r="W137" s="8" t="n"/>
      <c r="X137" s="8" t="n"/>
      <c r="Y137" s="8" t="n"/>
      <c r="Z137" s="8" t="n"/>
    </row>
    <row r="138" ht="13.5" customHeight="1" s="1">
      <c r="A138" s="8" t="n"/>
      <c r="B138" s="15" t="n"/>
      <c r="C138" s="8" t="n"/>
      <c r="D138" s="8" t="n"/>
      <c r="E138" s="16" t="n"/>
      <c r="F138" s="16" t="n"/>
      <c r="G138" s="16" t="n"/>
      <c r="H138" s="16" t="n"/>
      <c r="I138" s="16" t="n"/>
      <c r="J138" s="17" t="n"/>
      <c r="K138" s="16" t="n"/>
      <c r="L138" s="16" t="n"/>
      <c r="M138" s="16" t="n"/>
      <c r="N138" s="16" t="n"/>
      <c r="O138" s="16" t="n"/>
      <c r="P138" s="8" t="n"/>
      <c r="Q138" s="8" t="n"/>
      <c r="R138" s="8" t="n"/>
      <c r="S138" s="8" t="n"/>
      <c r="T138" s="8" t="n"/>
      <c r="U138" s="8" t="n"/>
      <c r="V138" s="8" t="n"/>
      <c r="W138" s="8" t="n"/>
      <c r="X138" s="8" t="n"/>
      <c r="Y138" s="8" t="n"/>
      <c r="Z138" s="8" t="n"/>
    </row>
    <row r="139" ht="13.5" customHeight="1" s="1">
      <c r="A139" s="8" t="n"/>
      <c r="B139" s="15" t="n"/>
      <c r="C139" s="8" t="n"/>
      <c r="D139" s="8" t="n"/>
      <c r="E139" s="16" t="n"/>
      <c r="F139" s="16" t="n"/>
      <c r="G139" s="16" t="n"/>
      <c r="H139" s="16" t="n"/>
      <c r="I139" s="16" t="n"/>
      <c r="J139" s="17" t="n"/>
      <c r="K139" s="16" t="n"/>
      <c r="L139" s="16" t="n"/>
      <c r="M139" s="16" t="n"/>
      <c r="N139" s="16" t="n"/>
      <c r="O139" s="16" t="n"/>
      <c r="P139" s="8" t="n"/>
      <c r="Q139" s="8" t="n"/>
      <c r="R139" s="8" t="n"/>
      <c r="S139" s="8" t="n"/>
      <c r="T139" s="8" t="n"/>
      <c r="U139" s="8" t="n"/>
      <c r="V139" s="8" t="n"/>
      <c r="W139" s="8" t="n"/>
      <c r="X139" s="8" t="n"/>
      <c r="Y139" s="8" t="n"/>
      <c r="Z139" s="8" t="n"/>
    </row>
    <row r="140" ht="13.5" customHeight="1" s="1">
      <c r="A140" s="8" t="n"/>
      <c r="B140" s="15" t="n"/>
      <c r="C140" s="8" t="n"/>
      <c r="D140" s="8" t="n"/>
      <c r="E140" s="16" t="n"/>
      <c r="F140" s="16" t="n"/>
      <c r="G140" s="16" t="n"/>
      <c r="H140" s="16" t="n"/>
      <c r="I140" s="16" t="n"/>
      <c r="J140" s="17" t="n"/>
      <c r="K140" s="16" t="n"/>
      <c r="L140" s="16" t="n"/>
      <c r="M140" s="16" t="n"/>
      <c r="N140" s="16" t="n"/>
      <c r="O140" s="16" t="n"/>
      <c r="P140" s="8" t="n"/>
      <c r="Q140" s="8" t="n"/>
      <c r="R140" s="8" t="n"/>
      <c r="S140" s="8" t="n"/>
      <c r="T140" s="8" t="n"/>
      <c r="U140" s="8" t="n"/>
      <c r="V140" s="8" t="n"/>
      <c r="W140" s="8" t="n"/>
      <c r="X140" s="8" t="n"/>
      <c r="Y140" s="8" t="n"/>
      <c r="Z140" s="8" t="n"/>
    </row>
    <row r="141" ht="13.5" customHeight="1" s="1">
      <c r="A141" s="8" t="n"/>
      <c r="B141" s="15" t="n"/>
      <c r="C141" s="8" t="n"/>
      <c r="D141" s="8" t="n"/>
      <c r="E141" s="16" t="n"/>
      <c r="F141" s="16" t="n"/>
      <c r="G141" s="16" t="n"/>
      <c r="H141" s="16" t="n"/>
      <c r="I141" s="16" t="n"/>
      <c r="J141" s="17" t="n"/>
      <c r="K141" s="16" t="n"/>
      <c r="L141" s="16" t="n"/>
      <c r="M141" s="16" t="n"/>
      <c r="N141" s="16" t="n"/>
      <c r="O141" s="16" t="n"/>
      <c r="P141" s="8" t="n"/>
      <c r="Q141" s="8" t="n"/>
      <c r="R141" s="8" t="n"/>
      <c r="S141" s="8" t="n"/>
      <c r="T141" s="8" t="n"/>
      <c r="U141" s="8" t="n"/>
      <c r="V141" s="8" t="n"/>
      <c r="W141" s="8" t="n"/>
      <c r="X141" s="8" t="n"/>
      <c r="Y141" s="8" t="n"/>
      <c r="Z141" s="8" t="n"/>
    </row>
    <row r="142" ht="13.5" customHeight="1" s="1">
      <c r="A142" s="8" t="n"/>
      <c r="B142" s="15" t="n"/>
      <c r="C142" s="8" t="n"/>
      <c r="D142" s="8" t="n"/>
      <c r="E142" s="16" t="n"/>
      <c r="F142" s="16" t="n"/>
      <c r="G142" s="16" t="n"/>
      <c r="H142" s="16" t="n"/>
      <c r="I142" s="16" t="n"/>
      <c r="J142" s="17" t="n"/>
      <c r="K142" s="16" t="n"/>
      <c r="L142" s="16" t="n"/>
      <c r="M142" s="16" t="n"/>
      <c r="N142" s="16" t="n"/>
      <c r="O142" s="16" t="n"/>
      <c r="P142" s="8" t="n"/>
      <c r="Q142" s="8" t="n"/>
      <c r="R142" s="8" t="n"/>
      <c r="S142" s="8" t="n"/>
      <c r="T142" s="8" t="n"/>
      <c r="U142" s="8" t="n"/>
      <c r="V142" s="8" t="n"/>
      <c r="W142" s="8" t="n"/>
      <c r="X142" s="8" t="n"/>
      <c r="Y142" s="8" t="n"/>
      <c r="Z142" s="8" t="n"/>
    </row>
    <row r="143" ht="13.5" customHeight="1" s="1">
      <c r="A143" s="8" t="n"/>
      <c r="B143" s="15" t="n"/>
      <c r="C143" s="8" t="n"/>
      <c r="D143" s="8" t="n"/>
      <c r="E143" s="16" t="n"/>
      <c r="F143" s="16" t="n"/>
      <c r="G143" s="16" t="n"/>
      <c r="H143" s="16" t="n"/>
      <c r="I143" s="16" t="n"/>
      <c r="J143" s="17" t="n"/>
      <c r="K143" s="16" t="n"/>
      <c r="L143" s="16" t="n"/>
      <c r="M143" s="16" t="n"/>
      <c r="N143" s="16" t="n"/>
      <c r="O143" s="16" t="n"/>
      <c r="P143" s="8" t="n"/>
      <c r="Q143" s="8" t="n"/>
      <c r="R143" s="8" t="n"/>
      <c r="S143" s="8" t="n"/>
      <c r="T143" s="8" t="n"/>
      <c r="U143" s="8" t="n"/>
      <c r="V143" s="8" t="n"/>
      <c r="W143" s="8" t="n"/>
      <c r="X143" s="8" t="n"/>
      <c r="Y143" s="8" t="n"/>
      <c r="Z143" s="8" t="n"/>
    </row>
    <row r="144" ht="13.5" customHeight="1" s="1">
      <c r="A144" s="8" t="n"/>
      <c r="B144" s="15" t="n"/>
      <c r="C144" s="8" t="n"/>
      <c r="D144" s="8" t="n"/>
      <c r="E144" s="16" t="n"/>
      <c r="F144" s="16" t="n"/>
      <c r="G144" s="16" t="n"/>
      <c r="H144" s="16" t="n"/>
      <c r="I144" s="16" t="n"/>
      <c r="J144" s="17" t="n"/>
      <c r="K144" s="16" t="n"/>
      <c r="L144" s="16" t="n"/>
      <c r="M144" s="16" t="n"/>
      <c r="N144" s="16" t="n"/>
      <c r="O144" s="16" t="n"/>
      <c r="P144" s="8" t="n"/>
      <c r="Q144" s="8" t="n"/>
      <c r="R144" s="8" t="n"/>
      <c r="S144" s="8" t="n"/>
      <c r="T144" s="8" t="n"/>
      <c r="U144" s="8" t="n"/>
      <c r="V144" s="8" t="n"/>
      <c r="W144" s="8" t="n"/>
      <c r="X144" s="8" t="n"/>
      <c r="Y144" s="8" t="n"/>
      <c r="Z144" s="8" t="n"/>
    </row>
    <row r="145" ht="13.5" customHeight="1" s="1">
      <c r="A145" s="8" t="n"/>
      <c r="B145" s="15" t="n"/>
      <c r="C145" s="8" t="n"/>
      <c r="D145" s="8" t="n"/>
      <c r="E145" s="16" t="n"/>
      <c r="F145" s="16" t="n"/>
      <c r="G145" s="16" t="n"/>
      <c r="H145" s="16" t="n"/>
      <c r="I145" s="16" t="n"/>
      <c r="J145" s="17" t="n"/>
      <c r="K145" s="16" t="n"/>
      <c r="L145" s="16" t="n"/>
      <c r="M145" s="16" t="n"/>
      <c r="N145" s="16" t="n"/>
      <c r="O145" s="16" t="n"/>
      <c r="P145" s="8" t="n"/>
      <c r="Q145" s="8" t="n"/>
      <c r="R145" s="8" t="n"/>
      <c r="S145" s="8" t="n"/>
      <c r="T145" s="8" t="n"/>
      <c r="U145" s="8" t="n"/>
      <c r="V145" s="8" t="n"/>
      <c r="W145" s="8" t="n"/>
      <c r="X145" s="8" t="n"/>
      <c r="Y145" s="8" t="n"/>
      <c r="Z145" s="8" t="n"/>
    </row>
    <row r="146" ht="13.5" customHeight="1" s="1">
      <c r="A146" s="8" t="n"/>
      <c r="B146" s="15" t="n"/>
      <c r="C146" s="8" t="n"/>
      <c r="D146" s="8" t="n"/>
      <c r="E146" s="16" t="n"/>
      <c r="F146" s="16" t="n"/>
      <c r="G146" s="16" t="n"/>
      <c r="H146" s="16" t="n"/>
      <c r="I146" s="16" t="n"/>
      <c r="J146" s="17" t="n"/>
      <c r="K146" s="16" t="n"/>
      <c r="L146" s="16" t="n"/>
      <c r="M146" s="16" t="n"/>
      <c r="N146" s="16" t="n"/>
      <c r="O146" s="16" t="n"/>
      <c r="P146" s="8" t="n"/>
      <c r="Q146" s="8" t="n"/>
      <c r="R146" s="8" t="n"/>
      <c r="S146" s="8" t="n"/>
      <c r="T146" s="8" t="n"/>
      <c r="U146" s="8" t="n"/>
      <c r="V146" s="8" t="n"/>
      <c r="W146" s="8" t="n"/>
      <c r="X146" s="8" t="n"/>
      <c r="Y146" s="8" t="n"/>
      <c r="Z146" s="8" t="n"/>
    </row>
    <row r="147" ht="13.5" customHeight="1" s="1">
      <c r="A147" s="8" t="n"/>
      <c r="B147" s="15" t="n"/>
      <c r="C147" s="8" t="n"/>
      <c r="D147" s="8" t="n"/>
      <c r="E147" s="16" t="n"/>
      <c r="F147" s="16" t="n"/>
      <c r="G147" s="16" t="n"/>
      <c r="H147" s="16" t="n"/>
      <c r="I147" s="16" t="n"/>
      <c r="J147" s="17" t="n"/>
      <c r="K147" s="16" t="n"/>
      <c r="L147" s="16" t="n"/>
      <c r="M147" s="16" t="n"/>
      <c r="N147" s="16" t="n"/>
      <c r="O147" s="16" t="n"/>
      <c r="P147" s="8" t="n"/>
      <c r="Q147" s="8" t="n"/>
      <c r="R147" s="8" t="n"/>
      <c r="S147" s="8" t="n"/>
      <c r="T147" s="8" t="n"/>
      <c r="U147" s="8" t="n"/>
      <c r="V147" s="8" t="n"/>
      <c r="W147" s="8" t="n"/>
      <c r="X147" s="8" t="n"/>
      <c r="Y147" s="8" t="n"/>
      <c r="Z147" s="8" t="n"/>
    </row>
    <row r="148" ht="13.5" customHeight="1" s="1">
      <c r="A148" s="8" t="n"/>
      <c r="B148" s="15" t="n"/>
      <c r="C148" s="8" t="n"/>
      <c r="D148" s="8" t="n"/>
      <c r="E148" s="16" t="n"/>
      <c r="F148" s="16" t="n"/>
      <c r="G148" s="16" t="n"/>
      <c r="H148" s="16" t="n"/>
      <c r="I148" s="16" t="n"/>
      <c r="J148" s="17" t="n"/>
      <c r="K148" s="16" t="n"/>
      <c r="L148" s="16" t="n"/>
      <c r="M148" s="16" t="n"/>
      <c r="N148" s="16" t="n"/>
      <c r="O148" s="16" t="n"/>
      <c r="P148" s="8" t="n"/>
      <c r="Q148" s="8" t="n"/>
      <c r="R148" s="8" t="n"/>
      <c r="S148" s="8" t="n"/>
      <c r="T148" s="8" t="n"/>
      <c r="U148" s="8" t="n"/>
      <c r="V148" s="8" t="n"/>
      <c r="W148" s="8" t="n"/>
      <c r="X148" s="8" t="n"/>
      <c r="Y148" s="8" t="n"/>
      <c r="Z148" s="8" t="n"/>
    </row>
    <row r="149" ht="13.5" customHeight="1" s="1">
      <c r="A149" s="8" t="n"/>
      <c r="B149" s="15" t="n"/>
      <c r="C149" s="8" t="n"/>
      <c r="D149" s="8" t="n"/>
      <c r="E149" s="16" t="n"/>
      <c r="F149" s="16" t="n"/>
      <c r="G149" s="16" t="n"/>
      <c r="H149" s="16" t="n"/>
      <c r="I149" s="16" t="n"/>
      <c r="J149" s="17" t="n"/>
      <c r="K149" s="16" t="n"/>
      <c r="L149" s="16" t="n"/>
      <c r="M149" s="16" t="n"/>
      <c r="N149" s="16" t="n"/>
      <c r="O149" s="16" t="n"/>
      <c r="P149" s="8" t="n"/>
      <c r="Q149" s="8" t="n"/>
      <c r="R149" s="8" t="n"/>
      <c r="S149" s="8" t="n"/>
      <c r="T149" s="8" t="n"/>
      <c r="U149" s="8" t="n"/>
      <c r="V149" s="8" t="n"/>
      <c r="W149" s="8" t="n"/>
      <c r="X149" s="8" t="n"/>
      <c r="Y149" s="8" t="n"/>
      <c r="Z149" s="8" t="n"/>
    </row>
    <row r="150" ht="13.5" customHeight="1" s="1">
      <c r="A150" s="8" t="n"/>
      <c r="B150" s="15" t="n"/>
      <c r="C150" s="8" t="n"/>
      <c r="D150" s="8" t="n"/>
      <c r="E150" s="16" t="n"/>
      <c r="F150" s="16" t="n"/>
      <c r="G150" s="16" t="n"/>
      <c r="H150" s="16" t="n"/>
      <c r="I150" s="16" t="n"/>
      <c r="J150" s="17" t="n"/>
      <c r="K150" s="16" t="n"/>
      <c r="L150" s="16" t="n"/>
      <c r="M150" s="16" t="n"/>
      <c r="N150" s="16" t="n"/>
      <c r="O150" s="16" t="n"/>
      <c r="P150" s="8" t="n"/>
      <c r="Q150" s="8" t="n"/>
      <c r="R150" s="8" t="n"/>
      <c r="S150" s="8" t="n"/>
      <c r="T150" s="8" t="n"/>
      <c r="U150" s="8" t="n"/>
      <c r="V150" s="8" t="n"/>
      <c r="W150" s="8" t="n"/>
      <c r="X150" s="8" t="n"/>
      <c r="Y150" s="8" t="n"/>
      <c r="Z150" s="8" t="n"/>
    </row>
    <row r="151" ht="13.5" customHeight="1" s="1">
      <c r="A151" s="8" t="n"/>
      <c r="B151" s="15" t="n"/>
      <c r="C151" s="8" t="n"/>
      <c r="D151" s="8" t="n"/>
      <c r="E151" s="16" t="n"/>
      <c r="F151" s="16" t="n"/>
      <c r="G151" s="16" t="n"/>
      <c r="H151" s="16" t="n"/>
      <c r="I151" s="16" t="n"/>
      <c r="J151" s="17" t="n"/>
      <c r="K151" s="16" t="n"/>
      <c r="L151" s="16" t="n"/>
      <c r="M151" s="16" t="n"/>
      <c r="N151" s="16" t="n"/>
      <c r="O151" s="16" t="n"/>
      <c r="P151" s="8" t="n"/>
      <c r="Q151" s="8" t="n"/>
      <c r="R151" s="8" t="n"/>
      <c r="S151" s="8" t="n"/>
      <c r="T151" s="8" t="n"/>
      <c r="U151" s="8" t="n"/>
      <c r="V151" s="8" t="n"/>
      <c r="W151" s="8" t="n"/>
      <c r="X151" s="8" t="n"/>
      <c r="Y151" s="8" t="n"/>
      <c r="Z151" s="8" t="n"/>
    </row>
    <row r="152" ht="13.5" customHeight="1" s="1">
      <c r="A152" s="8" t="n"/>
      <c r="B152" s="15" t="n"/>
      <c r="C152" s="8" t="n"/>
      <c r="D152" s="8" t="n"/>
      <c r="E152" s="16" t="n"/>
      <c r="F152" s="16" t="n"/>
      <c r="G152" s="16" t="n"/>
      <c r="H152" s="16" t="n"/>
      <c r="I152" s="16" t="n"/>
      <c r="J152" s="17" t="n"/>
      <c r="K152" s="16" t="n"/>
      <c r="L152" s="16" t="n"/>
      <c r="M152" s="16" t="n"/>
      <c r="N152" s="16" t="n"/>
      <c r="O152" s="16" t="n"/>
      <c r="P152" s="8" t="n"/>
      <c r="Q152" s="8" t="n"/>
      <c r="R152" s="8" t="n"/>
      <c r="S152" s="8" t="n"/>
      <c r="T152" s="8" t="n"/>
      <c r="U152" s="8" t="n"/>
      <c r="V152" s="8" t="n"/>
      <c r="W152" s="8" t="n"/>
      <c r="X152" s="8" t="n"/>
      <c r="Y152" s="8" t="n"/>
      <c r="Z152" s="8" t="n"/>
    </row>
    <row r="153" ht="13.5" customHeight="1" s="1">
      <c r="A153" s="8" t="n"/>
      <c r="B153" s="15" t="n"/>
      <c r="C153" s="8" t="n"/>
      <c r="D153" s="8" t="n"/>
      <c r="E153" s="16" t="n"/>
      <c r="F153" s="16" t="n"/>
      <c r="G153" s="16" t="n"/>
      <c r="H153" s="16" t="n"/>
      <c r="I153" s="16" t="n"/>
      <c r="J153" s="17" t="n"/>
      <c r="K153" s="16" t="n"/>
      <c r="L153" s="16" t="n"/>
      <c r="M153" s="16" t="n"/>
      <c r="N153" s="16" t="n"/>
      <c r="O153" s="16" t="n"/>
      <c r="P153" s="8" t="n"/>
      <c r="Q153" s="8" t="n"/>
      <c r="R153" s="8" t="n"/>
      <c r="S153" s="8" t="n"/>
      <c r="T153" s="8" t="n"/>
      <c r="U153" s="8" t="n"/>
      <c r="V153" s="8" t="n"/>
      <c r="W153" s="8" t="n"/>
      <c r="X153" s="8" t="n"/>
      <c r="Y153" s="8" t="n"/>
      <c r="Z153" s="8" t="n"/>
    </row>
    <row r="154" ht="13.5" customHeight="1" s="1">
      <c r="A154" s="8" t="n"/>
      <c r="B154" s="15" t="n"/>
      <c r="C154" s="8" t="n"/>
      <c r="D154" s="8" t="n"/>
      <c r="E154" s="16" t="n"/>
      <c r="F154" s="16" t="n"/>
      <c r="G154" s="16" t="n"/>
      <c r="H154" s="16" t="n"/>
      <c r="I154" s="16" t="n"/>
      <c r="J154" s="17" t="n"/>
      <c r="K154" s="16" t="n"/>
      <c r="L154" s="16" t="n"/>
      <c r="M154" s="16" t="n"/>
      <c r="N154" s="16" t="n"/>
      <c r="O154" s="16" t="n"/>
      <c r="P154" s="8" t="n"/>
      <c r="Q154" s="8" t="n"/>
      <c r="R154" s="8" t="n"/>
      <c r="S154" s="8" t="n"/>
      <c r="T154" s="8" t="n"/>
      <c r="U154" s="8" t="n"/>
      <c r="V154" s="8" t="n"/>
      <c r="W154" s="8" t="n"/>
      <c r="X154" s="8" t="n"/>
      <c r="Y154" s="8" t="n"/>
      <c r="Z154" s="8" t="n"/>
    </row>
    <row r="155" ht="13.5" customHeight="1" s="1">
      <c r="A155" s="8" t="n"/>
      <c r="B155" s="15" t="n"/>
      <c r="C155" s="8" t="n"/>
      <c r="D155" s="8" t="n"/>
      <c r="E155" s="16" t="n"/>
      <c r="F155" s="16" t="n"/>
      <c r="G155" s="16" t="n"/>
      <c r="H155" s="16" t="n"/>
      <c r="I155" s="16" t="n"/>
      <c r="J155" s="17" t="n"/>
      <c r="K155" s="16" t="n"/>
      <c r="L155" s="16" t="n"/>
      <c r="M155" s="16" t="n"/>
      <c r="N155" s="16" t="n"/>
      <c r="O155" s="16" t="n"/>
      <c r="P155" s="8" t="n"/>
      <c r="Q155" s="8" t="n"/>
      <c r="R155" s="8" t="n"/>
      <c r="S155" s="8" t="n"/>
      <c r="T155" s="8" t="n"/>
      <c r="U155" s="8" t="n"/>
      <c r="V155" s="8" t="n"/>
      <c r="W155" s="8" t="n"/>
      <c r="X155" s="8" t="n"/>
      <c r="Y155" s="8" t="n"/>
      <c r="Z155" s="8" t="n"/>
    </row>
    <row r="156" ht="13.5" customHeight="1" s="1">
      <c r="A156" s="8" t="n"/>
      <c r="B156" s="15" t="n"/>
      <c r="C156" s="8" t="n"/>
      <c r="D156" s="8" t="n"/>
      <c r="E156" s="16" t="n"/>
      <c r="F156" s="16" t="n"/>
      <c r="G156" s="16" t="n"/>
      <c r="H156" s="16" t="n"/>
      <c r="I156" s="16" t="n"/>
      <c r="J156" s="17" t="n"/>
      <c r="K156" s="16" t="n"/>
      <c r="L156" s="16" t="n"/>
      <c r="M156" s="16" t="n"/>
      <c r="N156" s="16" t="n"/>
      <c r="O156" s="16" t="n"/>
      <c r="P156" s="8" t="n"/>
      <c r="Q156" s="8" t="n"/>
      <c r="R156" s="8" t="n"/>
      <c r="S156" s="8" t="n"/>
      <c r="T156" s="8" t="n"/>
      <c r="U156" s="8" t="n"/>
      <c r="V156" s="8" t="n"/>
      <c r="W156" s="8" t="n"/>
      <c r="X156" s="8" t="n"/>
      <c r="Y156" s="8" t="n"/>
      <c r="Z156" s="8" t="n"/>
    </row>
    <row r="157" ht="13.5" customHeight="1" s="1">
      <c r="A157" s="8" t="n"/>
      <c r="B157" s="15" t="n"/>
      <c r="C157" s="8" t="n"/>
      <c r="D157" s="8" t="n"/>
      <c r="E157" s="16" t="n"/>
      <c r="F157" s="16" t="n"/>
      <c r="G157" s="16" t="n"/>
      <c r="H157" s="16" t="n"/>
      <c r="I157" s="16" t="n"/>
      <c r="J157" s="17" t="n"/>
      <c r="K157" s="16" t="n"/>
      <c r="L157" s="16" t="n"/>
      <c r="M157" s="16" t="n"/>
      <c r="N157" s="16" t="n"/>
      <c r="O157" s="16" t="n"/>
      <c r="P157" s="8" t="n"/>
      <c r="Q157" s="8" t="n"/>
      <c r="R157" s="8" t="n"/>
      <c r="S157" s="8" t="n"/>
      <c r="T157" s="8" t="n"/>
      <c r="U157" s="8" t="n"/>
      <c r="V157" s="8" t="n"/>
      <c r="W157" s="8" t="n"/>
      <c r="X157" s="8" t="n"/>
      <c r="Y157" s="8" t="n"/>
      <c r="Z157" s="8" t="n"/>
    </row>
    <row r="158" ht="13.5" customHeight="1" s="1">
      <c r="A158" s="8" t="n"/>
      <c r="B158" s="15" t="n"/>
      <c r="C158" s="8" t="n"/>
      <c r="D158" s="8" t="n"/>
      <c r="E158" s="16" t="n"/>
      <c r="F158" s="16" t="n"/>
      <c r="G158" s="16" t="n"/>
      <c r="H158" s="16" t="n"/>
      <c r="I158" s="16" t="n"/>
      <c r="J158" s="17" t="n"/>
      <c r="K158" s="16" t="n"/>
      <c r="L158" s="16" t="n"/>
      <c r="M158" s="16" t="n"/>
      <c r="N158" s="16" t="n"/>
      <c r="O158" s="16" t="n"/>
      <c r="P158" s="8" t="n"/>
      <c r="Q158" s="8" t="n"/>
      <c r="R158" s="8" t="n"/>
      <c r="S158" s="8" t="n"/>
      <c r="T158" s="8" t="n"/>
      <c r="U158" s="8" t="n"/>
      <c r="V158" s="8" t="n"/>
      <c r="W158" s="8" t="n"/>
      <c r="X158" s="8" t="n"/>
      <c r="Y158" s="8" t="n"/>
      <c r="Z158" s="8" t="n"/>
    </row>
    <row r="159" ht="13.5" customHeight="1" s="1">
      <c r="A159" s="8" t="n"/>
      <c r="B159" s="15" t="n"/>
      <c r="C159" s="8" t="n"/>
      <c r="D159" s="8" t="n"/>
      <c r="E159" s="16" t="n"/>
      <c r="F159" s="16" t="n"/>
      <c r="G159" s="16" t="n"/>
      <c r="H159" s="16" t="n"/>
      <c r="I159" s="16" t="n"/>
      <c r="J159" s="17" t="n"/>
      <c r="K159" s="16" t="n"/>
      <c r="L159" s="16" t="n"/>
      <c r="M159" s="16" t="n"/>
      <c r="N159" s="16" t="n"/>
      <c r="O159" s="16" t="n"/>
      <c r="P159" s="8" t="n"/>
      <c r="Q159" s="8" t="n"/>
      <c r="R159" s="8" t="n"/>
      <c r="S159" s="8" t="n"/>
      <c r="T159" s="8" t="n"/>
      <c r="U159" s="8" t="n"/>
      <c r="V159" s="8" t="n"/>
      <c r="W159" s="8" t="n"/>
      <c r="X159" s="8" t="n"/>
      <c r="Y159" s="8" t="n"/>
      <c r="Z159" s="8" t="n"/>
    </row>
    <row r="160" ht="13.5" customHeight="1" s="1">
      <c r="A160" s="8" t="n"/>
      <c r="B160" s="15" t="n"/>
      <c r="C160" s="8" t="n"/>
      <c r="D160" s="8" t="n"/>
      <c r="E160" s="16" t="n"/>
      <c r="F160" s="16" t="n"/>
      <c r="G160" s="16" t="n"/>
      <c r="H160" s="16" t="n"/>
      <c r="I160" s="16" t="n"/>
      <c r="J160" s="17" t="n"/>
      <c r="K160" s="16" t="n"/>
      <c r="L160" s="16" t="n"/>
      <c r="M160" s="16" t="n"/>
      <c r="N160" s="16" t="n"/>
      <c r="O160" s="16" t="n"/>
      <c r="P160" s="8" t="n"/>
      <c r="Q160" s="8" t="n"/>
      <c r="R160" s="8" t="n"/>
      <c r="S160" s="8" t="n"/>
      <c r="T160" s="8" t="n"/>
      <c r="U160" s="8" t="n"/>
      <c r="V160" s="8" t="n"/>
      <c r="W160" s="8" t="n"/>
      <c r="X160" s="8" t="n"/>
      <c r="Y160" s="8" t="n"/>
      <c r="Z160" s="8" t="n"/>
    </row>
    <row r="161" ht="13.5" customHeight="1" s="1">
      <c r="A161" s="8" t="n"/>
      <c r="B161" s="15" t="n"/>
      <c r="C161" s="8" t="n"/>
      <c r="D161" s="8" t="n"/>
      <c r="E161" s="16" t="n"/>
      <c r="F161" s="16" t="n"/>
      <c r="G161" s="16" t="n"/>
      <c r="H161" s="16" t="n"/>
      <c r="I161" s="16" t="n"/>
      <c r="J161" s="17" t="n"/>
      <c r="K161" s="16" t="n"/>
      <c r="L161" s="16" t="n"/>
      <c r="M161" s="16" t="n"/>
      <c r="N161" s="16" t="n"/>
      <c r="O161" s="16" t="n"/>
      <c r="P161" s="8" t="n"/>
      <c r="Q161" s="8" t="n"/>
      <c r="R161" s="8" t="n"/>
      <c r="S161" s="8" t="n"/>
      <c r="T161" s="8" t="n"/>
      <c r="U161" s="8" t="n"/>
      <c r="V161" s="8" t="n"/>
      <c r="W161" s="8" t="n"/>
      <c r="X161" s="8" t="n"/>
      <c r="Y161" s="8" t="n"/>
      <c r="Z161" s="8" t="n"/>
    </row>
    <row r="162" ht="13.5" customHeight="1" s="1">
      <c r="A162" s="8" t="n"/>
      <c r="B162" s="15" t="n"/>
      <c r="C162" s="8" t="n"/>
      <c r="D162" s="8" t="n"/>
      <c r="E162" s="16" t="n"/>
      <c r="F162" s="16" t="n"/>
      <c r="G162" s="16" t="n"/>
      <c r="H162" s="16" t="n"/>
      <c r="I162" s="16" t="n"/>
      <c r="J162" s="17" t="n"/>
      <c r="K162" s="16" t="n"/>
      <c r="L162" s="16" t="n"/>
      <c r="M162" s="16" t="n"/>
      <c r="N162" s="16" t="n"/>
      <c r="O162" s="16" t="n"/>
      <c r="P162" s="8" t="n"/>
      <c r="Q162" s="8" t="n"/>
      <c r="R162" s="8" t="n"/>
      <c r="S162" s="8" t="n"/>
      <c r="T162" s="8" t="n"/>
      <c r="U162" s="8" t="n"/>
      <c r="V162" s="8" t="n"/>
      <c r="W162" s="8" t="n"/>
      <c r="X162" s="8" t="n"/>
      <c r="Y162" s="8" t="n"/>
      <c r="Z162" s="8" t="n"/>
    </row>
    <row r="163" ht="13.5" customHeight="1" s="1">
      <c r="A163" s="8" t="n"/>
      <c r="B163" s="15" t="n"/>
      <c r="C163" s="8" t="n"/>
      <c r="D163" s="8" t="n"/>
      <c r="E163" s="16" t="n"/>
      <c r="F163" s="16" t="n"/>
      <c r="G163" s="16" t="n"/>
      <c r="H163" s="16" t="n"/>
      <c r="I163" s="16" t="n"/>
      <c r="J163" s="17" t="n"/>
      <c r="K163" s="16" t="n"/>
      <c r="L163" s="16" t="n"/>
      <c r="M163" s="16" t="n"/>
      <c r="N163" s="16" t="n"/>
      <c r="O163" s="16" t="n"/>
      <c r="P163" s="8" t="n"/>
      <c r="Q163" s="8" t="n"/>
      <c r="R163" s="8" t="n"/>
      <c r="S163" s="8" t="n"/>
      <c r="T163" s="8" t="n"/>
      <c r="U163" s="8" t="n"/>
      <c r="V163" s="8" t="n"/>
      <c r="W163" s="8" t="n"/>
      <c r="X163" s="8" t="n"/>
      <c r="Y163" s="8" t="n"/>
      <c r="Z163" s="8" t="n"/>
    </row>
    <row r="164" ht="13.5" customHeight="1" s="1">
      <c r="A164" s="8" t="n"/>
      <c r="B164" s="15" t="n"/>
      <c r="C164" s="8" t="n"/>
      <c r="D164" s="8" t="n"/>
      <c r="E164" s="16" t="n"/>
      <c r="F164" s="16" t="n"/>
      <c r="G164" s="16" t="n"/>
      <c r="H164" s="16" t="n"/>
      <c r="I164" s="16" t="n"/>
      <c r="J164" s="17" t="n"/>
      <c r="K164" s="16" t="n"/>
      <c r="L164" s="16" t="n"/>
      <c r="M164" s="16" t="n"/>
      <c r="N164" s="16" t="n"/>
      <c r="O164" s="16" t="n"/>
      <c r="P164" s="8" t="n"/>
      <c r="Q164" s="8" t="n"/>
      <c r="R164" s="8" t="n"/>
      <c r="S164" s="8" t="n"/>
      <c r="T164" s="8" t="n"/>
      <c r="U164" s="8" t="n"/>
      <c r="V164" s="8" t="n"/>
      <c r="W164" s="8" t="n"/>
      <c r="X164" s="8" t="n"/>
      <c r="Y164" s="8" t="n"/>
      <c r="Z164" s="8" t="n"/>
    </row>
    <row r="165" ht="13.5" customHeight="1" s="1">
      <c r="A165" s="8" t="n"/>
      <c r="B165" s="15" t="n"/>
      <c r="C165" s="8" t="n"/>
      <c r="D165" s="8" t="n"/>
      <c r="E165" s="16" t="n"/>
      <c r="F165" s="16" t="n"/>
      <c r="G165" s="16" t="n"/>
      <c r="H165" s="16" t="n"/>
      <c r="I165" s="16" t="n"/>
      <c r="J165" s="17" t="n"/>
      <c r="K165" s="16" t="n"/>
      <c r="L165" s="16" t="n"/>
      <c r="M165" s="16" t="n"/>
      <c r="N165" s="16" t="n"/>
      <c r="O165" s="16" t="n"/>
      <c r="P165" s="8" t="n"/>
      <c r="Q165" s="8" t="n"/>
      <c r="R165" s="8" t="n"/>
      <c r="S165" s="8" t="n"/>
      <c r="T165" s="8" t="n"/>
      <c r="U165" s="8" t="n"/>
      <c r="V165" s="8" t="n"/>
      <c r="W165" s="8" t="n"/>
      <c r="X165" s="8" t="n"/>
      <c r="Y165" s="8" t="n"/>
      <c r="Z165" s="8" t="n"/>
    </row>
    <row r="166" ht="13.5" customHeight="1" s="1">
      <c r="A166" s="8" t="n"/>
      <c r="B166" s="15" t="n"/>
      <c r="C166" s="8" t="n"/>
      <c r="D166" s="8" t="n"/>
      <c r="E166" s="16" t="n"/>
      <c r="F166" s="16" t="n"/>
      <c r="G166" s="16" t="n"/>
      <c r="H166" s="16" t="n"/>
      <c r="I166" s="16" t="n"/>
      <c r="J166" s="17" t="n"/>
      <c r="K166" s="16" t="n"/>
      <c r="L166" s="16" t="n"/>
      <c r="M166" s="16" t="n"/>
      <c r="N166" s="16" t="n"/>
      <c r="O166" s="16" t="n"/>
      <c r="P166" s="8" t="n"/>
      <c r="Q166" s="8" t="n"/>
      <c r="R166" s="8" t="n"/>
      <c r="S166" s="8" t="n"/>
      <c r="T166" s="8" t="n"/>
      <c r="U166" s="8" t="n"/>
      <c r="V166" s="8" t="n"/>
      <c r="W166" s="8" t="n"/>
      <c r="X166" s="8" t="n"/>
      <c r="Y166" s="8" t="n"/>
      <c r="Z166" s="8" t="n"/>
    </row>
    <row r="167" ht="13.5" customHeight="1" s="1">
      <c r="A167" s="8" t="n"/>
      <c r="B167" s="15" t="n"/>
      <c r="C167" s="8" t="n"/>
      <c r="D167" s="8" t="n"/>
      <c r="E167" s="16" t="n"/>
      <c r="F167" s="16" t="n"/>
      <c r="G167" s="16" t="n"/>
      <c r="H167" s="16" t="n"/>
      <c r="I167" s="16" t="n"/>
      <c r="J167" s="17" t="n"/>
      <c r="K167" s="16" t="n"/>
      <c r="L167" s="16" t="n"/>
      <c r="M167" s="16" t="n"/>
      <c r="N167" s="16" t="n"/>
      <c r="O167" s="16" t="n"/>
      <c r="P167" s="8" t="n"/>
      <c r="Q167" s="8" t="n"/>
      <c r="R167" s="8" t="n"/>
      <c r="S167" s="8" t="n"/>
      <c r="T167" s="8" t="n"/>
      <c r="U167" s="8" t="n"/>
      <c r="V167" s="8" t="n"/>
      <c r="W167" s="8" t="n"/>
      <c r="X167" s="8" t="n"/>
      <c r="Y167" s="8" t="n"/>
      <c r="Z167" s="8" t="n"/>
    </row>
    <row r="168" ht="13.5" customHeight="1" s="1">
      <c r="A168" s="8" t="n"/>
      <c r="B168" s="15" t="n"/>
      <c r="C168" s="8" t="n"/>
      <c r="D168" s="8" t="n"/>
      <c r="E168" s="16" t="n"/>
      <c r="F168" s="16" t="n"/>
      <c r="G168" s="16" t="n"/>
      <c r="H168" s="16" t="n"/>
      <c r="I168" s="16" t="n"/>
      <c r="J168" s="17" t="n"/>
      <c r="K168" s="16" t="n"/>
      <c r="L168" s="16" t="n"/>
      <c r="M168" s="16" t="n"/>
      <c r="N168" s="16" t="n"/>
      <c r="O168" s="16" t="n"/>
      <c r="P168" s="8" t="n"/>
      <c r="Q168" s="8" t="n"/>
      <c r="R168" s="8" t="n"/>
      <c r="S168" s="8" t="n"/>
      <c r="T168" s="8" t="n"/>
      <c r="U168" s="8" t="n"/>
      <c r="V168" s="8" t="n"/>
      <c r="W168" s="8" t="n"/>
      <c r="X168" s="8" t="n"/>
      <c r="Y168" s="8" t="n"/>
      <c r="Z168" s="8" t="n"/>
    </row>
    <row r="169" ht="13.5" customHeight="1" s="1">
      <c r="A169" s="8" t="n"/>
      <c r="B169" s="15" t="n"/>
      <c r="C169" s="8" t="n"/>
      <c r="D169" s="8" t="n"/>
      <c r="E169" s="16" t="n"/>
      <c r="F169" s="16" t="n"/>
      <c r="G169" s="16" t="n"/>
      <c r="H169" s="16" t="n"/>
      <c r="I169" s="16" t="n"/>
      <c r="J169" s="17" t="n"/>
      <c r="K169" s="16" t="n"/>
      <c r="L169" s="16" t="n"/>
      <c r="M169" s="16" t="n"/>
      <c r="N169" s="16" t="n"/>
      <c r="O169" s="16" t="n"/>
      <c r="P169" s="8" t="n"/>
      <c r="Q169" s="8" t="n"/>
      <c r="R169" s="8" t="n"/>
      <c r="S169" s="8" t="n"/>
      <c r="T169" s="8" t="n"/>
      <c r="U169" s="8" t="n"/>
      <c r="V169" s="8" t="n"/>
      <c r="W169" s="8" t="n"/>
      <c r="X169" s="8" t="n"/>
      <c r="Y169" s="8" t="n"/>
      <c r="Z169" s="8" t="n"/>
    </row>
    <row r="170" ht="13.5" customHeight="1" s="1">
      <c r="A170" s="8" t="n"/>
      <c r="B170" s="15" t="n"/>
      <c r="C170" s="8" t="n"/>
      <c r="D170" s="8" t="n"/>
      <c r="E170" s="16" t="n"/>
      <c r="F170" s="16" t="n"/>
      <c r="G170" s="16" t="n"/>
      <c r="H170" s="16" t="n"/>
      <c r="I170" s="16" t="n"/>
      <c r="J170" s="17" t="n"/>
      <c r="K170" s="16" t="n"/>
      <c r="L170" s="16" t="n"/>
      <c r="M170" s="16" t="n"/>
      <c r="N170" s="16" t="n"/>
      <c r="O170" s="16" t="n"/>
      <c r="P170" s="8" t="n"/>
      <c r="Q170" s="8" t="n"/>
      <c r="R170" s="8" t="n"/>
      <c r="S170" s="8" t="n"/>
      <c r="T170" s="8" t="n"/>
      <c r="U170" s="8" t="n"/>
      <c r="V170" s="8" t="n"/>
      <c r="W170" s="8" t="n"/>
      <c r="X170" s="8" t="n"/>
      <c r="Y170" s="8" t="n"/>
      <c r="Z170" s="8" t="n"/>
    </row>
    <row r="171" ht="13.5" customHeight="1" s="1">
      <c r="A171" s="8" t="n"/>
      <c r="B171" s="15" t="n"/>
      <c r="C171" s="8" t="n"/>
      <c r="D171" s="8" t="n"/>
      <c r="E171" s="16" t="n"/>
      <c r="F171" s="16" t="n"/>
      <c r="G171" s="16" t="n"/>
      <c r="H171" s="16" t="n"/>
      <c r="I171" s="16" t="n"/>
      <c r="J171" s="17" t="n"/>
      <c r="K171" s="16" t="n"/>
      <c r="L171" s="16" t="n"/>
      <c r="M171" s="16" t="n"/>
      <c r="N171" s="16" t="n"/>
      <c r="O171" s="16" t="n"/>
      <c r="P171" s="8" t="n"/>
      <c r="Q171" s="8" t="n"/>
      <c r="R171" s="8" t="n"/>
      <c r="S171" s="8" t="n"/>
      <c r="T171" s="8" t="n"/>
      <c r="U171" s="8" t="n"/>
      <c r="V171" s="8" t="n"/>
      <c r="W171" s="8" t="n"/>
      <c r="X171" s="8" t="n"/>
      <c r="Y171" s="8" t="n"/>
      <c r="Z171" s="8" t="n"/>
    </row>
    <row r="172" ht="13.5" customHeight="1" s="1">
      <c r="A172" s="8" t="n"/>
      <c r="B172" s="15" t="n"/>
      <c r="C172" s="8" t="n"/>
      <c r="D172" s="8" t="n"/>
      <c r="E172" s="16" t="n"/>
      <c r="F172" s="16" t="n"/>
      <c r="G172" s="16" t="n"/>
      <c r="H172" s="16" t="n"/>
      <c r="I172" s="16" t="n"/>
      <c r="J172" s="17" t="n"/>
      <c r="K172" s="16" t="n"/>
      <c r="L172" s="16" t="n"/>
      <c r="M172" s="16" t="n"/>
      <c r="N172" s="16" t="n"/>
      <c r="O172" s="16" t="n"/>
      <c r="P172" s="8" t="n"/>
      <c r="Q172" s="8" t="n"/>
      <c r="R172" s="8" t="n"/>
      <c r="S172" s="8" t="n"/>
      <c r="T172" s="8" t="n"/>
      <c r="U172" s="8" t="n"/>
      <c r="V172" s="8" t="n"/>
      <c r="W172" s="8" t="n"/>
      <c r="X172" s="8" t="n"/>
      <c r="Y172" s="8" t="n"/>
      <c r="Z172" s="8" t="n"/>
    </row>
    <row r="173" ht="13.5" customHeight="1" s="1">
      <c r="A173" s="8" t="n"/>
      <c r="B173" s="15" t="n"/>
      <c r="C173" s="8" t="n"/>
      <c r="D173" s="8" t="n"/>
      <c r="E173" s="16" t="n"/>
      <c r="F173" s="16" t="n"/>
      <c r="G173" s="16" t="n"/>
      <c r="H173" s="16" t="n"/>
      <c r="I173" s="16" t="n"/>
      <c r="J173" s="17" t="n"/>
      <c r="K173" s="16" t="n"/>
      <c r="L173" s="16" t="n"/>
      <c r="M173" s="16" t="n"/>
      <c r="N173" s="16" t="n"/>
      <c r="O173" s="16" t="n"/>
      <c r="P173" s="8" t="n"/>
      <c r="Q173" s="8" t="n"/>
      <c r="R173" s="8" t="n"/>
      <c r="S173" s="8" t="n"/>
      <c r="T173" s="8" t="n"/>
      <c r="U173" s="8" t="n"/>
      <c r="V173" s="8" t="n"/>
      <c r="W173" s="8" t="n"/>
      <c r="X173" s="8" t="n"/>
      <c r="Y173" s="8" t="n"/>
      <c r="Z173" s="8" t="n"/>
    </row>
    <row r="174" ht="13.5" customHeight="1" s="1">
      <c r="A174" s="8" t="n"/>
      <c r="B174" s="15" t="n"/>
      <c r="C174" s="8" t="n"/>
      <c r="D174" s="8" t="n"/>
      <c r="E174" s="16" t="n"/>
      <c r="F174" s="16" t="n"/>
      <c r="G174" s="16" t="n"/>
      <c r="H174" s="16" t="n"/>
      <c r="I174" s="16" t="n"/>
      <c r="J174" s="17" t="n"/>
      <c r="K174" s="16" t="n"/>
      <c r="L174" s="16" t="n"/>
      <c r="M174" s="16" t="n"/>
      <c r="N174" s="16" t="n"/>
      <c r="O174" s="16" t="n"/>
      <c r="P174" s="8" t="n"/>
      <c r="Q174" s="8" t="n"/>
      <c r="R174" s="8" t="n"/>
      <c r="S174" s="8" t="n"/>
      <c r="T174" s="8" t="n"/>
      <c r="U174" s="8" t="n"/>
      <c r="V174" s="8" t="n"/>
      <c r="W174" s="8" t="n"/>
      <c r="X174" s="8" t="n"/>
      <c r="Y174" s="8" t="n"/>
      <c r="Z174" s="8" t="n"/>
    </row>
    <row r="175" ht="13.5" customHeight="1" s="1">
      <c r="A175" s="8" t="n"/>
      <c r="B175" s="15" t="n"/>
      <c r="C175" s="8" t="n"/>
      <c r="D175" s="8" t="n"/>
      <c r="E175" s="16" t="n"/>
      <c r="F175" s="16" t="n"/>
      <c r="G175" s="16" t="n"/>
      <c r="H175" s="16" t="n"/>
      <c r="I175" s="16" t="n"/>
      <c r="J175" s="17" t="n"/>
      <c r="K175" s="16" t="n"/>
      <c r="L175" s="16" t="n"/>
      <c r="M175" s="16" t="n"/>
      <c r="N175" s="16" t="n"/>
      <c r="O175" s="16" t="n"/>
      <c r="P175" s="8" t="n"/>
      <c r="Q175" s="8" t="n"/>
      <c r="R175" s="8" t="n"/>
      <c r="S175" s="8" t="n"/>
      <c r="T175" s="8" t="n"/>
      <c r="U175" s="8" t="n"/>
      <c r="V175" s="8" t="n"/>
      <c r="W175" s="8" t="n"/>
      <c r="X175" s="8" t="n"/>
      <c r="Y175" s="8" t="n"/>
      <c r="Z175" s="8" t="n"/>
    </row>
    <row r="176" ht="13.5" customHeight="1" s="1">
      <c r="A176" s="8" t="n"/>
      <c r="B176" s="15" t="n"/>
      <c r="C176" s="8" t="n"/>
      <c r="D176" s="8" t="n"/>
      <c r="E176" s="16" t="n"/>
      <c r="F176" s="16" t="n"/>
      <c r="G176" s="16" t="n"/>
      <c r="H176" s="16" t="n"/>
      <c r="I176" s="16" t="n"/>
      <c r="J176" s="17" t="n"/>
      <c r="K176" s="16" t="n"/>
      <c r="L176" s="16" t="n"/>
      <c r="M176" s="16" t="n"/>
      <c r="N176" s="16" t="n"/>
      <c r="O176" s="16" t="n"/>
      <c r="P176" s="8" t="n"/>
      <c r="Q176" s="8" t="n"/>
      <c r="R176" s="8" t="n"/>
      <c r="S176" s="8" t="n"/>
      <c r="T176" s="8" t="n"/>
      <c r="U176" s="8" t="n"/>
      <c r="V176" s="8" t="n"/>
      <c r="W176" s="8" t="n"/>
      <c r="X176" s="8" t="n"/>
      <c r="Y176" s="8" t="n"/>
      <c r="Z176" s="8" t="n"/>
    </row>
    <row r="177" ht="13.5" customHeight="1" s="1">
      <c r="A177" s="8" t="n"/>
      <c r="B177" s="15" t="n"/>
      <c r="C177" s="8" t="n"/>
      <c r="D177" s="8" t="n"/>
      <c r="E177" s="16" t="n"/>
      <c r="F177" s="16" t="n"/>
      <c r="G177" s="16" t="n"/>
      <c r="H177" s="16" t="n"/>
      <c r="I177" s="16" t="n"/>
      <c r="J177" s="17" t="n"/>
      <c r="K177" s="16" t="n"/>
      <c r="L177" s="16" t="n"/>
      <c r="M177" s="16" t="n"/>
      <c r="N177" s="16" t="n"/>
      <c r="O177" s="16" t="n"/>
      <c r="P177" s="8" t="n"/>
      <c r="Q177" s="8" t="n"/>
      <c r="R177" s="8" t="n"/>
      <c r="S177" s="8" t="n"/>
      <c r="T177" s="8" t="n"/>
      <c r="U177" s="8" t="n"/>
      <c r="V177" s="8" t="n"/>
      <c r="W177" s="8" t="n"/>
      <c r="X177" s="8" t="n"/>
      <c r="Y177" s="8" t="n"/>
      <c r="Z177" s="8" t="n"/>
    </row>
    <row r="178" ht="13.5" customHeight="1" s="1">
      <c r="A178" s="8" t="n"/>
      <c r="B178" s="15" t="n"/>
      <c r="C178" s="8" t="n"/>
      <c r="D178" s="8" t="n"/>
      <c r="E178" s="16" t="n"/>
      <c r="F178" s="16" t="n"/>
      <c r="G178" s="16" t="n"/>
      <c r="H178" s="16" t="n"/>
      <c r="I178" s="16" t="n"/>
      <c r="J178" s="17" t="n"/>
      <c r="K178" s="16" t="n"/>
      <c r="L178" s="16" t="n"/>
      <c r="M178" s="16" t="n"/>
      <c r="N178" s="16" t="n"/>
      <c r="O178" s="16" t="n"/>
      <c r="P178" s="8" t="n"/>
      <c r="Q178" s="8" t="n"/>
      <c r="R178" s="8" t="n"/>
      <c r="S178" s="8" t="n"/>
      <c r="T178" s="8" t="n"/>
      <c r="U178" s="8" t="n"/>
      <c r="V178" s="8" t="n"/>
      <c r="W178" s="8" t="n"/>
      <c r="X178" s="8" t="n"/>
      <c r="Y178" s="8" t="n"/>
      <c r="Z178" s="8" t="n"/>
    </row>
    <row r="179" ht="13.5" customHeight="1" s="1">
      <c r="A179" s="8" t="n"/>
      <c r="B179" s="15" t="n"/>
      <c r="C179" s="8" t="n"/>
      <c r="D179" s="8" t="n"/>
      <c r="E179" s="16" t="n"/>
      <c r="F179" s="16" t="n"/>
      <c r="G179" s="16" t="n"/>
      <c r="H179" s="16" t="n"/>
      <c r="I179" s="16" t="n"/>
      <c r="J179" s="17" t="n"/>
      <c r="K179" s="16" t="n"/>
      <c r="L179" s="16" t="n"/>
      <c r="M179" s="16" t="n"/>
      <c r="N179" s="16" t="n"/>
      <c r="O179" s="16" t="n"/>
      <c r="P179" s="8" t="n"/>
      <c r="Q179" s="8" t="n"/>
      <c r="R179" s="8" t="n"/>
      <c r="S179" s="8" t="n"/>
      <c r="T179" s="8" t="n"/>
      <c r="U179" s="8" t="n"/>
      <c r="V179" s="8" t="n"/>
      <c r="W179" s="8" t="n"/>
      <c r="X179" s="8" t="n"/>
      <c r="Y179" s="8" t="n"/>
      <c r="Z179" s="8" t="n"/>
    </row>
    <row r="180" ht="13.5" customHeight="1" s="1">
      <c r="A180" s="8" t="n"/>
      <c r="B180" s="15" t="n"/>
      <c r="C180" s="8" t="n"/>
      <c r="D180" s="8" t="n"/>
      <c r="E180" s="16" t="n"/>
      <c r="F180" s="16" t="n"/>
      <c r="G180" s="16" t="n"/>
      <c r="H180" s="16" t="n"/>
      <c r="I180" s="16" t="n"/>
      <c r="J180" s="17" t="n"/>
      <c r="K180" s="16" t="n"/>
      <c r="L180" s="16" t="n"/>
      <c r="M180" s="16" t="n"/>
      <c r="N180" s="16" t="n"/>
      <c r="O180" s="16" t="n"/>
      <c r="P180" s="8" t="n"/>
      <c r="Q180" s="8" t="n"/>
      <c r="R180" s="8" t="n"/>
      <c r="S180" s="8" t="n"/>
      <c r="T180" s="8" t="n"/>
      <c r="U180" s="8" t="n"/>
      <c r="V180" s="8" t="n"/>
      <c r="W180" s="8" t="n"/>
      <c r="X180" s="8" t="n"/>
      <c r="Y180" s="8" t="n"/>
      <c r="Z180" s="8" t="n"/>
    </row>
    <row r="181" ht="13.5" customHeight="1" s="1">
      <c r="A181" s="8" t="n"/>
      <c r="B181" s="15" t="n"/>
      <c r="C181" s="8" t="n"/>
      <c r="D181" s="8" t="n"/>
      <c r="E181" s="16" t="n"/>
      <c r="F181" s="16" t="n"/>
      <c r="G181" s="16" t="n"/>
      <c r="H181" s="16" t="n"/>
      <c r="I181" s="16" t="n"/>
      <c r="J181" s="17" t="n"/>
      <c r="K181" s="16" t="n"/>
      <c r="L181" s="16" t="n"/>
      <c r="M181" s="16" t="n"/>
      <c r="N181" s="16" t="n"/>
      <c r="O181" s="16" t="n"/>
      <c r="P181" s="8" t="n"/>
      <c r="Q181" s="8" t="n"/>
      <c r="R181" s="8" t="n"/>
      <c r="S181" s="8" t="n"/>
      <c r="T181" s="8" t="n"/>
      <c r="U181" s="8" t="n"/>
      <c r="V181" s="8" t="n"/>
      <c r="W181" s="8" t="n"/>
      <c r="X181" s="8" t="n"/>
      <c r="Y181" s="8" t="n"/>
      <c r="Z181" s="8" t="n"/>
    </row>
    <row r="182" ht="13.5" customHeight="1" s="1">
      <c r="A182" s="8" t="n"/>
      <c r="B182" s="15" t="n"/>
      <c r="C182" s="8" t="n"/>
      <c r="D182" s="8" t="n"/>
      <c r="E182" s="16" t="n"/>
      <c r="F182" s="16" t="n"/>
      <c r="G182" s="16" t="n"/>
      <c r="H182" s="16" t="n"/>
      <c r="I182" s="16" t="n"/>
      <c r="J182" s="17" t="n"/>
      <c r="K182" s="16" t="n"/>
      <c r="L182" s="16" t="n"/>
      <c r="M182" s="16" t="n"/>
      <c r="N182" s="16" t="n"/>
      <c r="O182" s="16" t="n"/>
      <c r="P182" s="8" t="n"/>
      <c r="Q182" s="8" t="n"/>
      <c r="R182" s="8" t="n"/>
      <c r="S182" s="8" t="n"/>
      <c r="T182" s="8" t="n"/>
      <c r="U182" s="8" t="n"/>
      <c r="V182" s="8" t="n"/>
      <c r="W182" s="8" t="n"/>
      <c r="X182" s="8" t="n"/>
      <c r="Y182" s="8" t="n"/>
      <c r="Z182" s="8" t="n"/>
    </row>
    <row r="183" ht="13.5" customHeight="1" s="1">
      <c r="A183" s="8" t="n"/>
      <c r="B183" s="15" t="n"/>
      <c r="C183" s="8" t="n"/>
      <c r="D183" s="8" t="n"/>
      <c r="E183" s="16" t="n"/>
      <c r="F183" s="16" t="n"/>
      <c r="G183" s="16" t="n"/>
      <c r="H183" s="16" t="n"/>
      <c r="I183" s="16" t="n"/>
      <c r="J183" s="17" t="n"/>
      <c r="K183" s="16" t="n"/>
      <c r="L183" s="16" t="n"/>
      <c r="M183" s="16" t="n"/>
      <c r="N183" s="16" t="n"/>
      <c r="O183" s="16" t="n"/>
      <c r="P183" s="8" t="n"/>
      <c r="Q183" s="8" t="n"/>
      <c r="R183" s="8" t="n"/>
      <c r="S183" s="8" t="n"/>
      <c r="T183" s="8" t="n"/>
      <c r="U183" s="8" t="n"/>
      <c r="V183" s="8" t="n"/>
      <c r="W183" s="8" t="n"/>
      <c r="X183" s="8" t="n"/>
      <c r="Y183" s="8" t="n"/>
      <c r="Z183" s="8" t="n"/>
    </row>
    <row r="184" ht="13.5" customHeight="1" s="1">
      <c r="A184" s="8" t="n"/>
      <c r="B184" s="15" t="n"/>
      <c r="C184" s="8" t="n"/>
      <c r="D184" s="8" t="n"/>
      <c r="E184" s="16" t="n"/>
      <c r="F184" s="16" t="n"/>
      <c r="G184" s="16" t="n"/>
      <c r="H184" s="16" t="n"/>
      <c r="I184" s="16" t="n"/>
      <c r="J184" s="17" t="n"/>
      <c r="K184" s="16" t="n"/>
      <c r="L184" s="16" t="n"/>
      <c r="M184" s="16" t="n"/>
      <c r="N184" s="16" t="n"/>
      <c r="O184" s="16" t="n"/>
      <c r="P184" s="8" t="n"/>
      <c r="Q184" s="8" t="n"/>
      <c r="R184" s="8" t="n"/>
      <c r="S184" s="8" t="n"/>
      <c r="T184" s="8" t="n"/>
      <c r="U184" s="8" t="n"/>
      <c r="V184" s="8" t="n"/>
      <c r="W184" s="8" t="n"/>
      <c r="X184" s="8" t="n"/>
      <c r="Y184" s="8" t="n"/>
      <c r="Z184" s="8" t="n"/>
    </row>
    <row r="185" ht="13.5" customHeight="1" s="1">
      <c r="A185" s="8" t="n"/>
      <c r="B185" s="15" t="n"/>
      <c r="C185" s="8" t="n"/>
      <c r="D185" s="8" t="n"/>
      <c r="E185" s="16" t="n"/>
      <c r="F185" s="16" t="n"/>
      <c r="G185" s="16" t="n"/>
      <c r="H185" s="16" t="n"/>
      <c r="I185" s="16" t="n"/>
      <c r="J185" s="17" t="n"/>
      <c r="K185" s="16" t="n"/>
      <c r="L185" s="16" t="n"/>
      <c r="M185" s="16" t="n"/>
      <c r="N185" s="16" t="n"/>
      <c r="O185" s="16" t="n"/>
      <c r="P185" s="8" t="n"/>
      <c r="Q185" s="8" t="n"/>
      <c r="R185" s="8" t="n"/>
      <c r="S185" s="8" t="n"/>
      <c r="T185" s="8" t="n"/>
      <c r="U185" s="8" t="n"/>
      <c r="V185" s="8" t="n"/>
      <c r="W185" s="8" t="n"/>
      <c r="X185" s="8" t="n"/>
      <c r="Y185" s="8" t="n"/>
      <c r="Z185" s="8" t="n"/>
    </row>
    <row r="186" ht="13.5" customHeight="1" s="1">
      <c r="A186" s="8" t="n"/>
      <c r="B186" s="15" t="n"/>
      <c r="C186" s="8" t="n"/>
      <c r="D186" s="8" t="n"/>
      <c r="E186" s="16" t="n"/>
      <c r="F186" s="16" t="n"/>
      <c r="G186" s="16" t="n"/>
      <c r="H186" s="16" t="n"/>
      <c r="I186" s="16" t="n"/>
      <c r="J186" s="17" t="n"/>
      <c r="K186" s="16" t="n"/>
      <c r="L186" s="16" t="n"/>
      <c r="M186" s="16" t="n"/>
      <c r="N186" s="16" t="n"/>
      <c r="O186" s="16" t="n"/>
      <c r="P186" s="8" t="n"/>
      <c r="Q186" s="8" t="n"/>
      <c r="R186" s="8" t="n"/>
      <c r="S186" s="8" t="n"/>
      <c r="T186" s="8" t="n"/>
      <c r="U186" s="8" t="n"/>
      <c r="V186" s="8" t="n"/>
      <c r="W186" s="8" t="n"/>
      <c r="X186" s="8" t="n"/>
      <c r="Y186" s="8" t="n"/>
      <c r="Z186" s="8" t="n"/>
    </row>
    <row r="187" ht="13.5" customHeight="1" s="1">
      <c r="A187" s="8" t="n"/>
      <c r="B187" s="15" t="n"/>
      <c r="C187" s="8" t="n"/>
      <c r="D187" s="8" t="n"/>
      <c r="E187" s="16" t="n"/>
      <c r="F187" s="16" t="n"/>
      <c r="G187" s="16" t="n"/>
      <c r="H187" s="16" t="n"/>
      <c r="I187" s="16" t="n"/>
      <c r="J187" s="17" t="n"/>
      <c r="K187" s="16" t="n"/>
      <c r="L187" s="16" t="n"/>
      <c r="M187" s="16" t="n"/>
      <c r="N187" s="16" t="n"/>
      <c r="O187" s="16" t="n"/>
      <c r="P187" s="8" t="n"/>
      <c r="Q187" s="8" t="n"/>
      <c r="R187" s="8" t="n"/>
      <c r="S187" s="8" t="n"/>
      <c r="T187" s="8" t="n"/>
      <c r="U187" s="8" t="n"/>
      <c r="V187" s="8" t="n"/>
      <c r="W187" s="8" t="n"/>
      <c r="X187" s="8" t="n"/>
      <c r="Y187" s="8" t="n"/>
      <c r="Z187" s="8" t="n"/>
    </row>
    <row r="188" ht="13.5" customHeight="1" s="1">
      <c r="A188" s="8" t="n"/>
      <c r="B188" s="15" t="n"/>
      <c r="C188" s="8" t="n"/>
      <c r="D188" s="8" t="n"/>
      <c r="E188" s="16" t="n"/>
      <c r="F188" s="16" t="n"/>
      <c r="G188" s="16" t="n"/>
      <c r="H188" s="16" t="n"/>
      <c r="I188" s="16" t="n"/>
      <c r="J188" s="17" t="n"/>
      <c r="K188" s="16" t="n"/>
      <c r="L188" s="16" t="n"/>
      <c r="M188" s="16" t="n"/>
      <c r="N188" s="16" t="n"/>
      <c r="O188" s="16" t="n"/>
      <c r="P188" s="8" t="n"/>
      <c r="Q188" s="8" t="n"/>
      <c r="R188" s="8" t="n"/>
      <c r="S188" s="8" t="n"/>
      <c r="T188" s="8" t="n"/>
      <c r="U188" s="8" t="n"/>
      <c r="V188" s="8" t="n"/>
      <c r="W188" s="8" t="n"/>
      <c r="X188" s="8" t="n"/>
      <c r="Y188" s="8" t="n"/>
      <c r="Z188" s="8" t="n"/>
    </row>
    <row r="189" ht="13.5" customHeight="1" s="1">
      <c r="A189" s="8" t="n"/>
      <c r="B189" s="15" t="n"/>
      <c r="C189" s="8" t="n"/>
      <c r="D189" s="8" t="n"/>
      <c r="E189" s="16" t="n"/>
      <c r="F189" s="16" t="n"/>
      <c r="G189" s="16" t="n"/>
      <c r="H189" s="16" t="n"/>
      <c r="I189" s="16" t="n"/>
      <c r="J189" s="17" t="n"/>
      <c r="K189" s="16" t="n"/>
      <c r="L189" s="16" t="n"/>
      <c r="M189" s="16" t="n"/>
      <c r="N189" s="16" t="n"/>
      <c r="O189" s="16" t="n"/>
      <c r="P189" s="8" t="n"/>
      <c r="Q189" s="8" t="n"/>
      <c r="R189" s="8" t="n"/>
      <c r="S189" s="8" t="n"/>
      <c r="T189" s="8" t="n"/>
      <c r="U189" s="8" t="n"/>
      <c r="V189" s="8" t="n"/>
      <c r="W189" s="8" t="n"/>
      <c r="X189" s="8" t="n"/>
      <c r="Y189" s="8" t="n"/>
      <c r="Z189" s="8" t="n"/>
    </row>
    <row r="190" ht="13.5" customHeight="1" s="1">
      <c r="A190" s="8" t="n"/>
      <c r="B190" s="15" t="n"/>
      <c r="C190" s="8" t="n"/>
      <c r="D190" s="8" t="n"/>
      <c r="E190" s="16" t="n"/>
      <c r="F190" s="16" t="n"/>
      <c r="G190" s="16" t="n"/>
      <c r="H190" s="16" t="n"/>
      <c r="I190" s="16" t="n"/>
      <c r="J190" s="17" t="n"/>
      <c r="K190" s="16" t="n"/>
      <c r="L190" s="16" t="n"/>
      <c r="M190" s="16" t="n"/>
      <c r="N190" s="16" t="n"/>
      <c r="O190" s="16" t="n"/>
      <c r="P190" s="8" t="n"/>
      <c r="Q190" s="8" t="n"/>
      <c r="R190" s="8" t="n"/>
      <c r="S190" s="8" t="n"/>
      <c r="T190" s="8" t="n"/>
      <c r="U190" s="8" t="n"/>
      <c r="V190" s="8" t="n"/>
      <c r="W190" s="8" t="n"/>
      <c r="X190" s="8" t="n"/>
      <c r="Y190" s="8" t="n"/>
      <c r="Z190" s="8" t="n"/>
    </row>
    <row r="191" ht="13.5" customHeight="1" s="1">
      <c r="A191" s="8" t="n"/>
      <c r="B191" s="15" t="n"/>
      <c r="C191" s="8" t="n"/>
      <c r="D191" s="8" t="n"/>
      <c r="E191" s="16" t="n"/>
      <c r="F191" s="16" t="n"/>
      <c r="G191" s="16" t="n"/>
      <c r="H191" s="16" t="n"/>
      <c r="I191" s="16" t="n"/>
      <c r="J191" s="17" t="n"/>
      <c r="K191" s="16" t="n"/>
      <c r="L191" s="16" t="n"/>
      <c r="M191" s="16" t="n"/>
      <c r="N191" s="16" t="n"/>
      <c r="O191" s="16" t="n"/>
      <c r="P191" s="8" t="n"/>
      <c r="Q191" s="8" t="n"/>
      <c r="R191" s="8" t="n"/>
      <c r="S191" s="8" t="n"/>
      <c r="T191" s="8" t="n"/>
      <c r="U191" s="8" t="n"/>
      <c r="V191" s="8" t="n"/>
      <c r="W191" s="8" t="n"/>
      <c r="X191" s="8" t="n"/>
      <c r="Y191" s="8" t="n"/>
      <c r="Z191" s="8" t="n"/>
    </row>
    <row r="192" ht="13.5" customHeight="1" s="1">
      <c r="A192" s="8" t="n"/>
      <c r="B192" s="15" t="n"/>
      <c r="C192" s="8" t="n"/>
      <c r="D192" s="8" t="n"/>
      <c r="E192" s="16" t="n"/>
      <c r="F192" s="16" t="n"/>
      <c r="G192" s="16" t="n"/>
      <c r="H192" s="16" t="n"/>
      <c r="I192" s="16" t="n"/>
      <c r="J192" s="17" t="n"/>
      <c r="K192" s="16" t="n"/>
      <c r="L192" s="16" t="n"/>
      <c r="M192" s="16" t="n"/>
      <c r="N192" s="16" t="n"/>
      <c r="O192" s="16" t="n"/>
      <c r="P192" s="8" t="n"/>
      <c r="Q192" s="8" t="n"/>
      <c r="R192" s="8" t="n"/>
      <c r="S192" s="8" t="n"/>
      <c r="T192" s="8" t="n"/>
      <c r="U192" s="8" t="n"/>
      <c r="V192" s="8" t="n"/>
      <c r="W192" s="8" t="n"/>
      <c r="X192" s="8" t="n"/>
      <c r="Y192" s="8" t="n"/>
      <c r="Z192" s="8" t="n"/>
    </row>
    <row r="193" ht="13.5" customHeight="1" s="1">
      <c r="A193" s="8" t="n"/>
      <c r="B193" s="15" t="n"/>
      <c r="C193" s="8" t="n"/>
      <c r="D193" s="8" t="n"/>
      <c r="E193" s="16" t="n"/>
      <c r="F193" s="16" t="n"/>
      <c r="G193" s="16" t="n"/>
      <c r="H193" s="16" t="n"/>
      <c r="I193" s="16" t="n"/>
      <c r="J193" s="17" t="n"/>
      <c r="K193" s="16" t="n"/>
      <c r="L193" s="16" t="n"/>
      <c r="M193" s="16" t="n"/>
      <c r="N193" s="16" t="n"/>
      <c r="O193" s="16" t="n"/>
      <c r="P193" s="8" t="n"/>
      <c r="Q193" s="8" t="n"/>
      <c r="R193" s="8" t="n"/>
      <c r="S193" s="8" t="n"/>
      <c r="T193" s="8" t="n"/>
      <c r="U193" s="8" t="n"/>
      <c r="V193" s="8" t="n"/>
      <c r="W193" s="8" t="n"/>
      <c r="X193" s="8" t="n"/>
      <c r="Y193" s="8" t="n"/>
      <c r="Z193" s="8" t="n"/>
    </row>
    <row r="194" ht="13.5" customHeight="1" s="1">
      <c r="A194" s="8" t="n"/>
      <c r="B194" s="15" t="n"/>
      <c r="C194" s="8" t="n"/>
      <c r="D194" s="8" t="n"/>
      <c r="E194" s="16" t="n"/>
      <c r="F194" s="16" t="n"/>
      <c r="G194" s="16" t="n"/>
      <c r="H194" s="16" t="n"/>
      <c r="I194" s="16" t="n"/>
      <c r="J194" s="17" t="n"/>
      <c r="K194" s="16" t="n"/>
      <c r="L194" s="16" t="n"/>
      <c r="M194" s="16" t="n"/>
      <c r="N194" s="16" t="n"/>
      <c r="O194" s="16" t="n"/>
      <c r="P194" s="8" t="n"/>
      <c r="Q194" s="8" t="n"/>
      <c r="R194" s="8" t="n"/>
      <c r="S194" s="8" t="n"/>
      <c r="T194" s="8" t="n"/>
      <c r="U194" s="8" t="n"/>
      <c r="V194" s="8" t="n"/>
      <c r="W194" s="8" t="n"/>
      <c r="X194" s="8" t="n"/>
      <c r="Y194" s="8" t="n"/>
      <c r="Z194" s="8" t="n"/>
    </row>
    <row r="195" ht="13.5" customHeight="1" s="1">
      <c r="A195" s="8" t="n"/>
      <c r="B195" s="15" t="n"/>
      <c r="C195" s="8" t="n"/>
      <c r="D195" s="8" t="n"/>
      <c r="E195" s="16" t="n"/>
      <c r="F195" s="16" t="n"/>
      <c r="G195" s="16" t="n"/>
      <c r="H195" s="16" t="n"/>
      <c r="I195" s="16" t="n"/>
      <c r="J195" s="17" t="n"/>
      <c r="K195" s="16" t="n"/>
      <c r="L195" s="16" t="n"/>
      <c r="M195" s="16" t="n"/>
      <c r="N195" s="16" t="n"/>
      <c r="O195" s="16" t="n"/>
      <c r="P195" s="8" t="n"/>
      <c r="Q195" s="8" t="n"/>
      <c r="R195" s="8" t="n"/>
      <c r="S195" s="8" t="n"/>
      <c r="T195" s="8" t="n"/>
      <c r="U195" s="8" t="n"/>
      <c r="V195" s="8" t="n"/>
      <c r="W195" s="8" t="n"/>
      <c r="X195" s="8" t="n"/>
      <c r="Y195" s="8" t="n"/>
      <c r="Z195" s="8" t="n"/>
    </row>
    <row r="196" ht="13.5" customHeight="1" s="1">
      <c r="A196" s="8" t="n"/>
      <c r="B196" s="15" t="n"/>
      <c r="C196" s="8" t="n"/>
      <c r="D196" s="8" t="n"/>
      <c r="E196" s="16" t="n"/>
      <c r="F196" s="16" t="n"/>
      <c r="G196" s="16" t="n"/>
      <c r="H196" s="16" t="n"/>
      <c r="I196" s="16" t="n"/>
      <c r="J196" s="17" t="n"/>
      <c r="K196" s="16" t="n"/>
      <c r="L196" s="16" t="n"/>
      <c r="M196" s="16" t="n"/>
      <c r="N196" s="16" t="n"/>
      <c r="O196" s="16" t="n"/>
      <c r="P196" s="8" t="n"/>
      <c r="Q196" s="8" t="n"/>
      <c r="R196" s="8" t="n"/>
      <c r="S196" s="8" t="n"/>
      <c r="T196" s="8" t="n"/>
      <c r="U196" s="8" t="n"/>
      <c r="V196" s="8" t="n"/>
      <c r="W196" s="8" t="n"/>
      <c r="X196" s="8" t="n"/>
      <c r="Y196" s="8" t="n"/>
      <c r="Z196" s="8" t="n"/>
    </row>
    <row r="197" ht="13.5" customHeight="1" s="1">
      <c r="A197" s="8" t="n"/>
      <c r="B197" s="15" t="n"/>
      <c r="C197" s="8" t="n"/>
      <c r="D197" s="8" t="n"/>
      <c r="E197" s="16" t="n"/>
      <c r="F197" s="16" t="n"/>
      <c r="G197" s="16" t="n"/>
      <c r="H197" s="16" t="n"/>
      <c r="I197" s="16" t="n"/>
      <c r="J197" s="17" t="n"/>
      <c r="K197" s="16" t="n"/>
      <c r="L197" s="16" t="n"/>
      <c r="M197" s="16" t="n"/>
      <c r="N197" s="16" t="n"/>
      <c r="O197" s="16" t="n"/>
      <c r="P197" s="8" t="n"/>
      <c r="Q197" s="8" t="n"/>
      <c r="R197" s="8" t="n"/>
      <c r="S197" s="8" t="n"/>
      <c r="T197" s="8" t="n"/>
      <c r="U197" s="8" t="n"/>
      <c r="V197" s="8" t="n"/>
      <c r="W197" s="8" t="n"/>
      <c r="X197" s="8" t="n"/>
      <c r="Y197" s="8" t="n"/>
      <c r="Z197" s="8" t="n"/>
    </row>
    <row r="198" ht="13.5" customHeight="1" s="1">
      <c r="A198" s="8" t="n"/>
      <c r="B198" s="15" t="n"/>
      <c r="C198" s="8" t="n"/>
      <c r="D198" s="8" t="n"/>
      <c r="E198" s="16" t="n"/>
      <c r="F198" s="16" t="n"/>
      <c r="G198" s="16" t="n"/>
      <c r="H198" s="16" t="n"/>
      <c r="I198" s="16" t="n"/>
      <c r="J198" s="17" t="n"/>
      <c r="K198" s="16" t="n"/>
      <c r="L198" s="16" t="n"/>
      <c r="M198" s="16" t="n"/>
      <c r="N198" s="16" t="n"/>
      <c r="O198" s="16" t="n"/>
      <c r="P198" s="8" t="n"/>
      <c r="Q198" s="8" t="n"/>
      <c r="R198" s="8" t="n"/>
      <c r="S198" s="8" t="n"/>
      <c r="T198" s="8" t="n"/>
      <c r="U198" s="8" t="n"/>
      <c r="V198" s="8" t="n"/>
      <c r="W198" s="8" t="n"/>
      <c r="X198" s="8" t="n"/>
      <c r="Y198" s="8" t="n"/>
      <c r="Z198" s="8" t="n"/>
    </row>
    <row r="199" ht="13.5" customHeight="1" s="1">
      <c r="A199" s="8" t="n"/>
      <c r="B199" s="15" t="n"/>
      <c r="C199" s="8" t="n"/>
      <c r="D199" s="8" t="n"/>
      <c r="E199" s="16" t="n"/>
      <c r="F199" s="16" t="n"/>
      <c r="G199" s="16" t="n"/>
      <c r="H199" s="16" t="n"/>
      <c r="I199" s="16" t="n"/>
      <c r="J199" s="17" t="n"/>
      <c r="K199" s="16" t="n"/>
      <c r="L199" s="16" t="n"/>
      <c r="M199" s="16" t="n"/>
      <c r="N199" s="16" t="n"/>
      <c r="O199" s="16" t="n"/>
      <c r="P199" s="8" t="n"/>
      <c r="Q199" s="8" t="n"/>
      <c r="R199" s="8" t="n"/>
      <c r="S199" s="8" t="n"/>
      <c r="T199" s="8" t="n"/>
      <c r="U199" s="8" t="n"/>
      <c r="V199" s="8" t="n"/>
      <c r="W199" s="8" t="n"/>
      <c r="X199" s="8" t="n"/>
      <c r="Y199" s="8" t="n"/>
      <c r="Z199" s="8" t="n"/>
    </row>
    <row r="200" ht="13.5" customHeight="1" s="1">
      <c r="A200" s="8" t="n"/>
      <c r="B200" s="15" t="n"/>
      <c r="C200" s="8" t="n"/>
      <c r="D200" s="8" t="n"/>
      <c r="E200" s="16" t="n"/>
      <c r="F200" s="16" t="n"/>
      <c r="G200" s="16" t="n"/>
      <c r="H200" s="16" t="n"/>
      <c r="I200" s="16" t="n"/>
      <c r="J200" s="17" t="n"/>
      <c r="K200" s="16" t="n"/>
      <c r="L200" s="16" t="n"/>
      <c r="M200" s="16" t="n"/>
      <c r="N200" s="16" t="n"/>
      <c r="O200" s="16" t="n"/>
      <c r="P200" s="8" t="n"/>
      <c r="Q200" s="8" t="n"/>
      <c r="R200" s="8" t="n"/>
      <c r="S200" s="8" t="n"/>
      <c r="T200" s="8" t="n"/>
      <c r="U200" s="8" t="n"/>
      <c r="V200" s="8" t="n"/>
      <c r="W200" s="8" t="n"/>
      <c r="X200" s="8" t="n"/>
      <c r="Y200" s="8" t="n"/>
      <c r="Z200" s="8" t="n"/>
    </row>
    <row r="201" ht="13.5" customHeight="1" s="1">
      <c r="A201" s="8" t="n"/>
      <c r="B201" s="15" t="n"/>
      <c r="C201" s="8" t="n"/>
      <c r="D201" s="8" t="n"/>
      <c r="E201" s="16" t="n"/>
      <c r="F201" s="16" t="n"/>
      <c r="G201" s="16" t="n"/>
      <c r="H201" s="16" t="n"/>
      <c r="I201" s="16" t="n"/>
      <c r="J201" s="17" t="n"/>
      <c r="K201" s="16" t="n"/>
      <c r="L201" s="16" t="n"/>
      <c r="M201" s="16" t="n"/>
      <c r="N201" s="16" t="n"/>
      <c r="O201" s="16" t="n"/>
      <c r="P201" s="8" t="n"/>
      <c r="Q201" s="8" t="n"/>
      <c r="R201" s="8" t="n"/>
      <c r="S201" s="8" t="n"/>
      <c r="T201" s="8" t="n"/>
      <c r="U201" s="8" t="n"/>
      <c r="V201" s="8" t="n"/>
      <c r="W201" s="8" t="n"/>
      <c r="X201" s="8" t="n"/>
      <c r="Y201" s="8" t="n"/>
      <c r="Z201" s="8" t="n"/>
    </row>
    <row r="202" ht="13.5" customHeight="1" s="1">
      <c r="A202" s="8" t="n"/>
      <c r="B202" s="15" t="n"/>
      <c r="C202" s="8" t="n"/>
      <c r="D202" s="8" t="n"/>
      <c r="E202" s="16" t="n"/>
      <c r="F202" s="16" t="n"/>
      <c r="G202" s="16" t="n"/>
      <c r="H202" s="16" t="n"/>
      <c r="I202" s="16" t="n"/>
      <c r="J202" s="17" t="n"/>
      <c r="K202" s="16" t="n"/>
      <c r="L202" s="16" t="n"/>
      <c r="M202" s="16" t="n"/>
      <c r="N202" s="16" t="n"/>
      <c r="O202" s="16" t="n"/>
      <c r="P202" s="8" t="n"/>
      <c r="Q202" s="8" t="n"/>
      <c r="R202" s="8" t="n"/>
      <c r="S202" s="8" t="n"/>
      <c r="T202" s="8" t="n"/>
      <c r="U202" s="8" t="n"/>
      <c r="V202" s="8" t="n"/>
      <c r="W202" s="8" t="n"/>
      <c r="X202" s="8" t="n"/>
      <c r="Y202" s="8" t="n"/>
      <c r="Z202" s="8" t="n"/>
    </row>
    <row r="203" ht="13.5" customHeight="1" s="1">
      <c r="A203" s="8" t="n"/>
      <c r="B203" s="15" t="n"/>
      <c r="C203" s="8" t="n"/>
      <c r="D203" s="8" t="n"/>
      <c r="E203" s="16" t="n"/>
      <c r="F203" s="16" t="n"/>
      <c r="G203" s="16" t="n"/>
      <c r="H203" s="16" t="n"/>
      <c r="I203" s="16" t="n"/>
      <c r="J203" s="17" t="n"/>
      <c r="K203" s="16" t="n"/>
      <c r="L203" s="16" t="n"/>
      <c r="M203" s="16" t="n"/>
      <c r="N203" s="16" t="n"/>
      <c r="O203" s="16" t="n"/>
      <c r="P203" s="8" t="n"/>
      <c r="Q203" s="8" t="n"/>
      <c r="R203" s="8" t="n"/>
      <c r="S203" s="8" t="n"/>
      <c r="T203" s="8" t="n"/>
      <c r="U203" s="8" t="n"/>
      <c r="V203" s="8" t="n"/>
      <c r="W203" s="8" t="n"/>
      <c r="X203" s="8" t="n"/>
      <c r="Y203" s="8" t="n"/>
      <c r="Z203" s="8" t="n"/>
    </row>
    <row r="204" ht="13.5" customHeight="1" s="1">
      <c r="A204" s="8" t="n"/>
      <c r="B204" s="15" t="n"/>
      <c r="C204" s="8" t="n"/>
      <c r="D204" s="8" t="n"/>
      <c r="E204" s="16" t="n"/>
      <c r="F204" s="16" t="n"/>
      <c r="G204" s="16" t="n"/>
      <c r="H204" s="16" t="n"/>
      <c r="I204" s="16" t="n"/>
      <c r="J204" s="17" t="n"/>
      <c r="K204" s="16" t="n"/>
      <c r="L204" s="16" t="n"/>
      <c r="M204" s="16" t="n"/>
      <c r="N204" s="16" t="n"/>
      <c r="O204" s="16" t="n"/>
      <c r="P204" s="8" t="n"/>
      <c r="Q204" s="8" t="n"/>
      <c r="R204" s="8" t="n"/>
      <c r="S204" s="8" t="n"/>
      <c r="T204" s="8" t="n"/>
      <c r="U204" s="8" t="n"/>
      <c r="V204" s="8" t="n"/>
      <c r="W204" s="8" t="n"/>
      <c r="X204" s="8" t="n"/>
      <c r="Y204" s="8" t="n"/>
      <c r="Z204" s="8" t="n"/>
    </row>
    <row r="205" ht="15.75" customHeight="1" s="1">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1">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1">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1">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1">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1">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1">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1">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1">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1">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1">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1">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1">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1">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1">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13">
    <mergeCell ref="A1:T1"/>
    <mergeCell ref="D7:R7"/>
    <mergeCell ref="D8:E8"/>
    <mergeCell ref="C2:D2"/>
    <mergeCell ref="P8:Q8"/>
    <mergeCell ref="R8:R9"/>
    <mergeCell ref="S8:S9"/>
    <mergeCell ref="T7:T9"/>
    <mergeCell ref="H8:I8"/>
    <mergeCell ref="L8:M8"/>
    <mergeCell ref="J8:K8"/>
    <mergeCell ref="N8:O8"/>
    <mergeCell ref="F8:G8"/>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J231"/>
  <sheetViews>
    <sheetView showGridLines="0" topLeftCell="A17" workbookViewId="0">
      <selection activeCell="A19" sqref="A19"/>
    </sheetView>
  </sheetViews>
  <sheetFormatPr baseColWidth="8" defaultColWidth="12.6640625" defaultRowHeight="15" customHeight="1"/>
  <cols>
    <col width="16" customWidth="1" style="1" min="1" max="1"/>
    <col width="14.21875" customWidth="1" style="1" min="2" max="16"/>
    <col width="12" customWidth="1" style="1" min="17" max="19"/>
    <col width="11.44140625" customWidth="1" style="1" min="20" max="20"/>
    <col width="12" customWidth="1" style="1" min="21" max="36"/>
    <col width="12.6640625" customWidth="1" style="1" min="37" max="38"/>
    <col width="12.6640625" customWidth="1" style="1" min="39" max="16384"/>
  </cols>
  <sheetData>
    <row r="1" ht="28.5" customHeight="1" s="1">
      <c r="A1" s="211" t="inlineStr">
        <is>
          <t>SRM  INSTITUTE  OF  SCIENCE  AND  TECHNOLOGY</t>
        </is>
      </c>
      <c r="B1" s="212" t="n"/>
      <c r="C1" s="212" t="n"/>
      <c r="D1" s="212" t="n"/>
      <c r="E1" s="212" t="n"/>
      <c r="F1" s="212" t="n"/>
      <c r="G1" s="212" t="n"/>
      <c r="H1" s="212" t="n"/>
      <c r="I1" s="212" t="n"/>
      <c r="J1" s="212" t="n"/>
      <c r="K1" s="212" t="n"/>
      <c r="L1" s="212" t="n"/>
      <c r="M1" s="212" t="n"/>
      <c r="N1" s="212" t="n"/>
      <c r="O1" s="212" t="n"/>
      <c r="P1" s="212" t="n"/>
      <c r="Q1" s="212" t="n"/>
      <c r="R1" s="212" t="n"/>
      <c r="S1" s="212" t="n"/>
      <c r="T1" s="213" t="n"/>
      <c r="U1" s="70" t="n"/>
      <c r="V1" s="70" t="n"/>
      <c r="W1" s="70" t="n"/>
      <c r="X1" s="70" t="n"/>
      <c r="Y1" s="70" t="n"/>
      <c r="Z1" s="70" t="n"/>
      <c r="AA1" s="70" t="n"/>
      <c r="AB1" s="70" t="n"/>
      <c r="AC1" s="70" t="n"/>
      <c r="AD1" s="70" t="n"/>
      <c r="AE1" s="70" t="n"/>
      <c r="AF1" s="70" t="n"/>
      <c r="AG1" s="70" t="n"/>
      <c r="AH1" s="70" t="n"/>
      <c r="AI1" s="70" t="n"/>
      <c r="AJ1" s="70" t="n"/>
    </row>
    <row r="2" ht="28.5" customHeight="1" s="1">
      <c r="A2" s="9" t="inlineStr">
        <is>
          <t>Department  :</t>
        </is>
      </c>
      <c r="B2" s="10" t="n"/>
      <c r="C2" s="214" t="n"/>
      <c r="D2" s="213" t="n"/>
      <c r="E2" s="10" t="n"/>
      <c r="F2" s="10" t="n"/>
      <c r="G2" s="10" t="n"/>
      <c r="H2" s="10" t="n"/>
      <c r="I2" s="10" t="n"/>
      <c r="J2" s="10" t="n"/>
      <c r="K2" s="10" t="n"/>
      <c r="L2" s="10" t="n"/>
      <c r="M2" s="10" t="n"/>
      <c r="N2" s="10" t="n"/>
      <c r="O2" s="10" t="n"/>
      <c r="P2" s="10" t="n"/>
      <c r="Q2" s="10" t="n"/>
      <c r="R2" s="10" t="n"/>
      <c r="S2" s="10" t="n"/>
      <c r="T2" s="10" t="n"/>
      <c r="U2" s="70" t="n"/>
      <c r="V2" s="70" t="n"/>
      <c r="W2" s="70" t="n"/>
      <c r="X2" s="70" t="n"/>
      <c r="Y2" s="70" t="n"/>
      <c r="Z2" s="70" t="n"/>
      <c r="AA2" s="70" t="n"/>
      <c r="AB2" s="70" t="n"/>
      <c r="AC2" s="70" t="n"/>
      <c r="AD2" s="70" t="n"/>
      <c r="AE2" s="70" t="n"/>
      <c r="AF2" s="70" t="n"/>
      <c r="AG2" s="70" t="n"/>
      <c r="AH2" s="70" t="n"/>
      <c r="AI2" s="70" t="n"/>
      <c r="AJ2" s="70" t="n"/>
    </row>
    <row r="3" ht="28.5" customHeight="1" s="1">
      <c r="A3" s="9" t="inlineStr">
        <is>
          <t>Degree :</t>
        </is>
      </c>
      <c r="B3" s="10" t="n"/>
      <c r="C3" s="214" t="n"/>
      <c r="D3" s="10" t="n"/>
      <c r="E3" s="11" t="inlineStr">
        <is>
          <t>Programme:</t>
        </is>
      </c>
      <c r="F3" s="10" t="n"/>
      <c r="G3" s="11" t="n"/>
      <c r="H3" s="10" t="n"/>
      <c r="I3" s="10" t="n"/>
      <c r="J3" s="10" t="n"/>
      <c r="K3" s="10" t="n"/>
      <c r="L3" s="11" t="inlineStr">
        <is>
          <t>Batch :</t>
        </is>
      </c>
      <c r="M3" s="194" t="n"/>
      <c r="N3" s="11" t="n"/>
      <c r="O3" s="10" t="n"/>
      <c r="P3" s="10" t="n"/>
      <c r="Q3" s="10" t="n"/>
      <c r="R3" s="10" t="n"/>
      <c r="S3" s="10" t="n"/>
      <c r="T3" s="10" t="n"/>
      <c r="U3" s="70" t="n"/>
      <c r="V3" s="70" t="n"/>
      <c r="W3" s="70" t="n"/>
      <c r="X3" s="70" t="n"/>
      <c r="Y3" s="70" t="n"/>
      <c r="Z3" s="70" t="n"/>
      <c r="AA3" s="70" t="n"/>
      <c r="AB3" s="70" t="n"/>
      <c r="AC3" s="70" t="n"/>
      <c r="AD3" s="70" t="n"/>
      <c r="AE3" s="70" t="n"/>
      <c r="AF3" s="70" t="n"/>
      <c r="AG3" s="70" t="n"/>
      <c r="AH3" s="70" t="n"/>
      <c r="AI3" s="70" t="n"/>
      <c r="AJ3" s="70" t="n"/>
    </row>
    <row r="4" ht="28.5" customHeight="1" s="1">
      <c r="A4" s="11" t="inlineStr">
        <is>
          <t>Acadenic Year :</t>
        </is>
      </c>
      <c r="B4" s="10" t="n"/>
      <c r="C4" s="11" t="n"/>
      <c r="D4" s="10" t="n"/>
      <c r="E4" s="214" t="inlineStr">
        <is>
          <t>Year:</t>
        </is>
      </c>
      <c r="F4" s="11" t="n"/>
      <c r="G4" s="8" t="n"/>
      <c r="H4" s="10" t="n"/>
      <c r="I4" s="10" t="n"/>
      <c r="J4" s="10" t="n"/>
      <c r="K4" s="10" t="n"/>
      <c r="L4" s="214" t="inlineStr">
        <is>
          <t>Semester :</t>
        </is>
      </c>
      <c r="M4" s="10" t="n"/>
      <c r="N4" s="11" t="n"/>
      <c r="O4" s="11" t="inlineStr">
        <is>
          <t>Section:</t>
        </is>
      </c>
      <c r="P4" s="11" t="n"/>
      <c r="Q4" s="10" t="n"/>
      <c r="R4" s="10" t="n"/>
      <c r="S4" s="10" t="n"/>
      <c r="T4" s="10" t="n"/>
      <c r="U4" s="194" t="n"/>
      <c r="V4" s="194" t="n"/>
      <c r="W4" s="194" t="n"/>
      <c r="X4" s="194" t="n"/>
      <c r="Y4" s="194" t="n"/>
      <c r="Z4" s="194" t="n"/>
      <c r="AA4" s="194" t="n"/>
      <c r="AB4" s="194" t="n"/>
      <c r="AC4" s="194" t="n"/>
      <c r="AD4" s="194" t="n"/>
      <c r="AE4" s="194" t="n"/>
      <c r="AF4" s="194" t="n"/>
      <c r="AG4" s="194" t="n"/>
      <c r="AH4" s="194" t="n"/>
      <c r="AI4" s="194" t="n"/>
      <c r="AJ4" s="194" t="n"/>
    </row>
    <row r="5" ht="28.5" customHeight="1" s="1">
      <c r="A5" s="41" t="inlineStr">
        <is>
          <t>Course Code &amp; Title :</t>
        </is>
      </c>
      <c r="B5" s="13" t="n"/>
      <c r="C5" s="42" t="n"/>
      <c r="D5" s="43" t="n"/>
      <c r="E5" s="8" t="n"/>
      <c r="F5" s="8" t="n"/>
      <c r="G5" s="194" t="n"/>
      <c r="H5" s="13" t="n"/>
      <c r="I5" s="13" t="n"/>
      <c r="J5" s="14" t="n"/>
      <c r="K5" s="10" t="n"/>
      <c r="L5" s="214" t="inlineStr">
        <is>
          <t>Course Coordinator :</t>
        </is>
      </c>
      <c r="M5" s="10" t="n"/>
      <c r="N5" s="11" t="n"/>
      <c r="O5" s="10" t="n"/>
      <c r="P5" s="10" t="n"/>
      <c r="Q5" s="13" t="n"/>
      <c r="R5" s="13" t="n"/>
      <c r="S5" s="13" t="n"/>
      <c r="T5" s="13" t="n"/>
      <c r="U5" s="194" t="n"/>
      <c r="V5" s="194" t="n"/>
      <c r="W5" s="194" t="n"/>
      <c r="X5" s="194" t="n"/>
      <c r="Y5" s="194" t="n"/>
      <c r="Z5" s="194" t="n"/>
      <c r="AA5" s="194" t="n"/>
      <c r="AB5" s="194" t="n"/>
      <c r="AC5" s="194" t="n"/>
      <c r="AD5" s="194" t="n"/>
      <c r="AE5" s="194" t="n"/>
      <c r="AF5" s="194" t="n"/>
      <c r="AG5" s="194" t="n"/>
      <c r="AH5" s="194" t="n"/>
      <c r="AI5" s="194" t="n"/>
      <c r="AJ5" s="194" t="n"/>
    </row>
    <row r="6" ht="28.5" customHeight="1" s="1">
      <c r="A6" s="71" t="inlineStr">
        <is>
          <t>COURSE OUTCOME:</t>
        </is>
      </c>
      <c r="B6" s="13" t="n"/>
      <c r="C6" s="194" t="n"/>
      <c r="D6" s="8" t="n"/>
      <c r="E6" s="8" t="n"/>
      <c r="F6" s="8" t="n"/>
      <c r="G6" s="14" t="n"/>
      <c r="H6" s="13" t="n"/>
      <c r="I6" s="13" t="n"/>
      <c r="J6" s="13" t="n"/>
      <c r="K6" s="13" t="n"/>
      <c r="L6" s="13" t="n"/>
      <c r="M6" s="13" t="n"/>
      <c r="N6" s="13" t="n"/>
      <c r="O6" s="13" t="n"/>
      <c r="P6" s="13" t="n"/>
      <c r="Q6" s="13" t="n"/>
      <c r="R6" s="13" t="n"/>
      <c r="S6" s="13" t="n"/>
      <c r="T6" s="13" t="n"/>
      <c r="U6" s="194" t="n"/>
      <c r="V6" s="194" t="n"/>
      <c r="W6" s="194" t="n"/>
      <c r="X6" s="194" t="n"/>
      <c r="Y6" s="194" t="n"/>
      <c r="Z6" s="194" t="n"/>
      <c r="AA6" s="194" t="n"/>
      <c r="AB6" s="194" t="n"/>
      <c r="AC6" s="194" t="n"/>
      <c r="AD6" s="194" t="n"/>
      <c r="AE6" s="194" t="n"/>
      <c r="AF6" s="194" t="n"/>
      <c r="AG6" s="194" t="n"/>
      <c r="AH6" s="194" t="n"/>
      <c r="AI6" s="194" t="n"/>
      <c r="AJ6" s="194" t="n"/>
    </row>
    <row r="7" ht="27.75" customHeight="1" s="1">
      <c r="A7" s="227" t="inlineStr">
        <is>
          <t>Students should be able to do the following tasks, described as "Course Outcomes"</t>
        </is>
      </c>
      <c r="B7" s="228" t="n"/>
      <c r="C7" s="228" t="n"/>
      <c r="D7" s="228" t="n"/>
      <c r="E7" s="228" t="n"/>
      <c r="F7" s="228" t="n"/>
      <c r="G7" s="228" t="n"/>
      <c r="H7" s="229" t="n"/>
      <c r="I7" s="72" t="n"/>
      <c r="J7" s="72" t="n"/>
      <c r="K7" s="72" t="n"/>
      <c r="L7" s="72" t="n"/>
      <c r="M7" s="72" t="n"/>
      <c r="N7" s="70" t="n"/>
      <c r="O7" s="70" t="n"/>
      <c r="P7" s="70" t="n"/>
      <c r="Q7" s="70" t="n"/>
      <c r="R7" s="70" t="n"/>
      <c r="S7" s="70" t="n"/>
      <c r="T7" s="70" t="n"/>
      <c r="U7" s="194" t="n"/>
      <c r="V7" s="194" t="n"/>
      <c r="W7" s="194" t="n"/>
      <c r="X7" s="194" t="n"/>
      <c r="Y7" s="194" t="n"/>
      <c r="Z7" s="194" t="n"/>
      <c r="AA7" s="194" t="n"/>
      <c r="AB7" s="194" t="n"/>
      <c r="AC7" s="194" t="n"/>
      <c r="AD7" s="194" t="n"/>
      <c r="AE7" s="194" t="n"/>
      <c r="AF7" s="194" t="n"/>
      <c r="AG7" s="194" t="n"/>
      <c r="AH7" s="194" t="n"/>
      <c r="AI7" s="194" t="n"/>
      <c r="AJ7" s="194" t="n"/>
    </row>
    <row r="8" ht="27.75" customHeight="1" s="1">
      <c r="A8" s="73" t="inlineStr">
        <is>
          <t>CODE</t>
        </is>
      </c>
      <c r="B8" s="239" t="inlineStr">
        <is>
          <t>Description of CO</t>
        </is>
      </c>
      <c r="C8" s="216" t="n"/>
      <c r="D8" s="216" t="n"/>
      <c r="E8" s="216" t="n"/>
      <c r="F8" s="216" t="n"/>
      <c r="G8" s="216" t="n"/>
      <c r="H8" s="216" t="n"/>
      <c r="I8" s="216" t="n"/>
      <c r="J8" s="216" t="n"/>
      <c r="K8" s="216" t="n"/>
      <c r="L8" s="222" t="n"/>
      <c r="M8" s="74" t="n"/>
      <c r="N8" s="75" t="n"/>
      <c r="O8" s="194" t="n"/>
      <c r="P8" s="194" t="n"/>
      <c r="Q8" s="194" t="n"/>
      <c r="R8" s="194" t="n"/>
      <c r="S8" s="194" t="n"/>
      <c r="T8" s="194" t="n"/>
      <c r="U8" s="194" t="n"/>
      <c r="V8" s="194" t="n"/>
      <c r="W8" s="194" t="n"/>
      <c r="X8" s="194" t="n"/>
      <c r="Y8" s="194" t="n"/>
      <c r="Z8" s="194" t="n"/>
      <c r="AA8" s="194" t="n"/>
      <c r="AB8" s="194" t="n"/>
      <c r="AC8" s="194" t="n"/>
      <c r="AD8" s="194" t="n"/>
      <c r="AE8" s="194" t="n"/>
      <c r="AF8" s="194" t="n"/>
      <c r="AG8" s="194" t="n"/>
      <c r="AH8" s="194" t="n"/>
      <c r="AI8" s="194" t="n"/>
      <c r="AJ8" s="194" t="n"/>
    </row>
    <row r="9" ht="24" customHeight="1" s="1">
      <c r="A9" s="76" t="inlineStr">
        <is>
          <t>CLO-1 :</t>
        </is>
      </c>
      <c r="B9" s="235" t="inlineStr">
        <is>
          <t xml:space="preserve">Formulate a problem as a state space search method and its solution using various AI techniques </t>
        </is>
      </c>
      <c r="C9" s="216" t="n"/>
      <c r="D9" s="216" t="n"/>
      <c r="E9" s="216" t="n"/>
      <c r="F9" s="216" t="n"/>
      <c r="G9" s="216" t="n"/>
      <c r="H9" s="216" t="n"/>
      <c r="I9" s="216" t="n"/>
      <c r="J9" s="216" t="n"/>
      <c r="K9" s="216" t="n"/>
      <c r="L9" s="222" t="n"/>
      <c r="M9" s="77" t="n"/>
      <c r="N9" s="75" t="n"/>
      <c r="O9" s="194" t="n"/>
      <c r="P9" s="194" t="n"/>
      <c r="Q9" s="194" t="n"/>
      <c r="R9" s="194" t="n"/>
      <c r="S9" s="194" t="n"/>
      <c r="T9" s="194" t="n"/>
      <c r="U9" s="194" t="n"/>
      <c r="V9" s="194" t="n"/>
      <c r="W9" s="194" t="n"/>
      <c r="X9" s="194" t="n"/>
      <c r="Y9" s="194" t="n"/>
      <c r="Z9" s="194" t="n"/>
      <c r="AA9" s="194" t="n"/>
      <c r="AB9" s="194" t="n"/>
      <c r="AC9" s="194" t="n"/>
      <c r="AD9" s="194" t="n"/>
      <c r="AE9" s="194" t="n"/>
      <c r="AF9" s="194" t="n"/>
      <c r="AG9" s="194" t="n"/>
      <c r="AH9" s="194" t="n"/>
      <c r="AI9" s="194" t="n"/>
      <c r="AJ9" s="194" t="n"/>
    </row>
    <row r="10" ht="24" customHeight="1" s="1">
      <c r="A10" s="76" t="inlineStr">
        <is>
          <t>CLO-2 :</t>
        </is>
      </c>
      <c r="B10" s="221" t="inlineStr">
        <is>
          <t>Apply appropriate searching techniques to solve a real-world problem</t>
        </is>
      </c>
      <c r="C10" s="216" t="n"/>
      <c r="D10" s="216" t="n"/>
      <c r="E10" s="216" t="n"/>
      <c r="F10" s="216" t="n"/>
      <c r="G10" s="216" t="n"/>
      <c r="H10" s="216" t="n"/>
      <c r="I10" s="216" t="n"/>
      <c r="J10" s="216" t="n"/>
      <c r="K10" s="216" t="n"/>
      <c r="L10" s="222" t="n"/>
      <c r="M10" s="77" t="n"/>
      <c r="N10" s="75" t="n"/>
      <c r="O10" s="194" t="n"/>
      <c r="P10" s="194" t="n"/>
      <c r="Q10" s="194" t="n"/>
      <c r="R10" s="194" t="n"/>
      <c r="S10" s="194" t="n"/>
      <c r="T10" s="194" t="n"/>
      <c r="U10" s="194" t="n"/>
      <c r="V10" s="194" t="n"/>
      <c r="W10" s="194" t="n"/>
      <c r="X10" s="194" t="n"/>
      <c r="Y10" s="194" t="n"/>
      <c r="Z10" s="194" t="n"/>
      <c r="AA10" s="194" t="n"/>
      <c r="AB10" s="194" t="n"/>
      <c r="AC10" s="194" t="n"/>
      <c r="AD10" s="194" t="n"/>
      <c r="AE10" s="194" t="n"/>
      <c r="AF10" s="194" t="n"/>
      <c r="AG10" s="194" t="n"/>
      <c r="AH10" s="194" t="n"/>
      <c r="AI10" s="194" t="n"/>
      <c r="AJ10" s="194" t="n"/>
    </row>
    <row r="11" ht="24" customHeight="1" s="1">
      <c r="A11" s="76" t="inlineStr">
        <is>
          <t>CLO-3 :</t>
        </is>
      </c>
      <c r="B11" s="221" t="inlineStr">
        <is>
          <t>Develop various game playing strategies to solve real world adversarial search problems</t>
        </is>
      </c>
      <c r="C11" s="216" t="n"/>
      <c r="D11" s="216" t="n"/>
      <c r="E11" s="216" t="n"/>
      <c r="F11" s="216" t="n"/>
      <c r="G11" s="216" t="n"/>
      <c r="H11" s="216" t="n"/>
      <c r="I11" s="216" t="n"/>
      <c r="J11" s="216" t="n"/>
      <c r="K11" s="216" t="n"/>
      <c r="L11" s="222" t="n"/>
      <c r="M11" s="77" t="n"/>
      <c r="N11" s="75" t="n"/>
      <c r="O11" s="194" t="n"/>
      <c r="P11" s="194" t="n"/>
      <c r="Q11" s="194" t="n"/>
      <c r="R11" s="194" t="n"/>
      <c r="S11" s="194" t="n"/>
      <c r="T11" s="194" t="n"/>
      <c r="U11" s="194" t="n"/>
      <c r="V11" s="194" t="n"/>
      <c r="W11" s="194" t="n"/>
      <c r="X11" s="194" t="n"/>
      <c r="Y11" s="194" t="n"/>
      <c r="Z11" s="194" t="n"/>
      <c r="AA11" s="194" t="n"/>
      <c r="AB11" s="194" t="n"/>
      <c r="AC11" s="194" t="n"/>
      <c r="AD11" s="194" t="n"/>
      <c r="AE11" s="194" t="n"/>
      <c r="AF11" s="194" t="n"/>
      <c r="AG11" s="194" t="n"/>
      <c r="AH11" s="194" t="n"/>
      <c r="AI11" s="194" t="n"/>
      <c r="AJ11" s="194" t="n"/>
    </row>
    <row r="12" ht="24" customHeight="1" s="1">
      <c r="A12" s="76" t="inlineStr">
        <is>
          <t>CLO-4 :</t>
        </is>
      </c>
      <c r="B12" s="221" t="inlineStr">
        <is>
          <t>Represent various knowledge representation techniques to solve complex AI problems</t>
        </is>
      </c>
      <c r="C12" s="216" t="n"/>
      <c r="D12" s="216" t="n"/>
      <c r="E12" s="216" t="n"/>
      <c r="F12" s="216" t="n"/>
      <c r="G12" s="216" t="n"/>
      <c r="H12" s="216" t="n"/>
      <c r="I12" s="216" t="n"/>
      <c r="J12" s="216" t="n"/>
      <c r="K12" s="216" t="n"/>
      <c r="L12" s="222" t="n"/>
      <c r="M12" s="77" t="n"/>
      <c r="N12" s="75" t="n"/>
      <c r="O12" s="194" t="n"/>
      <c r="P12" s="194" t="n"/>
      <c r="Q12" s="194" t="n"/>
      <c r="R12" s="194" t="n"/>
      <c r="S12" s="194" t="n"/>
      <c r="T12" s="194" t="n"/>
      <c r="U12" s="194" t="n"/>
      <c r="V12" s="194" t="n"/>
      <c r="W12" s="194" t="n"/>
      <c r="X12" s="194" t="n"/>
      <c r="Y12" s="194" t="n"/>
      <c r="Z12" s="194" t="n"/>
      <c r="AA12" s="194" t="n"/>
      <c r="AB12" s="194" t="n"/>
      <c r="AC12" s="194" t="n"/>
      <c r="AD12" s="194" t="n"/>
      <c r="AE12" s="194" t="n"/>
      <c r="AF12" s="194" t="n"/>
      <c r="AG12" s="194" t="n"/>
      <c r="AH12" s="194" t="n"/>
      <c r="AI12" s="194" t="n"/>
      <c r="AJ12" s="194" t="n"/>
    </row>
    <row r="13" ht="24" customHeight="1" s="1">
      <c r="A13" s="76" t="inlineStr">
        <is>
          <t>CLO-5 :</t>
        </is>
      </c>
      <c r="B13" s="221" t="inlineStr">
        <is>
          <t>Design an expert system to implement advance techniques in Artificial Intelligence</t>
        </is>
      </c>
      <c r="C13" s="216" t="n"/>
      <c r="D13" s="216" t="n"/>
      <c r="E13" s="216" t="n"/>
      <c r="F13" s="216" t="n"/>
      <c r="G13" s="216" t="n"/>
      <c r="H13" s="216" t="n"/>
      <c r="I13" s="216" t="n"/>
      <c r="J13" s="216" t="n"/>
      <c r="K13" s="216" t="n"/>
      <c r="L13" s="222" t="n"/>
      <c r="M13" s="77" t="n"/>
      <c r="N13" s="75" t="n"/>
      <c r="O13" s="194" t="n"/>
      <c r="P13" s="194" t="n"/>
      <c r="Q13" s="194" t="n"/>
      <c r="R13" s="194" t="n"/>
      <c r="S13" s="194" t="n"/>
      <c r="T13" s="194" t="n"/>
      <c r="U13" s="194" t="n"/>
      <c r="V13" s="194" t="n"/>
      <c r="W13" s="194" t="n"/>
      <c r="X13" s="194" t="n"/>
      <c r="Y13" s="194" t="n"/>
      <c r="Z13" s="194" t="n"/>
      <c r="AA13" s="194" t="n"/>
      <c r="AB13" s="194" t="n"/>
      <c r="AC13" s="194" t="n"/>
      <c r="AD13" s="194" t="n"/>
      <c r="AE13" s="194" t="n"/>
      <c r="AF13" s="194" t="n"/>
      <c r="AG13" s="194" t="n"/>
      <c r="AH13" s="194" t="n"/>
      <c r="AI13" s="194" t="n"/>
      <c r="AJ13" s="194" t="n"/>
    </row>
    <row r="14" ht="26.25" customHeight="1" s="1">
      <c r="A14" s="76" t="inlineStr">
        <is>
          <t>CLO-6 :</t>
        </is>
      </c>
      <c r="B14" s="234" t="n"/>
      <c r="C14" s="216" t="n"/>
      <c r="D14" s="216" t="n"/>
      <c r="E14" s="216" t="n"/>
      <c r="F14" s="216" t="n"/>
      <c r="G14" s="216" t="n"/>
      <c r="H14" s="216" t="n"/>
      <c r="I14" s="216" t="n"/>
      <c r="J14" s="216" t="n"/>
      <c r="K14" s="216" t="n"/>
      <c r="L14" s="222" t="n"/>
      <c r="M14" s="78" t="n"/>
      <c r="N14" s="79" t="n"/>
      <c r="O14" s="80" t="n"/>
      <c r="P14" s="80" t="n"/>
      <c r="Q14" s="194" t="n"/>
      <c r="R14" s="194" t="n"/>
      <c r="S14" s="194" t="n"/>
      <c r="T14" s="194" t="n"/>
      <c r="U14" s="194" t="n"/>
      <c r="V14" s="194" t="n"/>
      <c r="W14" s="194" t="n"/>
      <c r="X14" s="194" t="n"/>
      <c r="Y14" s="194" t="n"/>
      <c r="Z14" s="194" t="n"/>
      <c r="AA14" s="194" t="n"/>
      <c r="AB14" s="194" t="n"/>
      <c r="AC14" s="194" t="n"/>
      <c r="AD14" s="194" t="n"/>
      <c r="AE14" s="194" t="n"/>
      <c r="AF14" s="194" t="n"/>
      <c r="AG14" s="194" t="n"/>
      <c r="AH14" s="194" t="n"/>
      <c r="AI14" s="194" t="n"/>
      <c r="AJ14" s="194" t="n"/>
    </row>
    <row r="15" ht="26.25" customHeight="1" s="1">
      <c r="A15" s="81" t="inlineStr">
        <is>
          <t>PROGRAM OUTCOMES (PO):</t>
        </is>
      </c>
      <c r="B15" s="82" t="n"/>
      <c r="C15" s="82" t="n"/>
      <c r="D15" s="83" t="n"/>
      <c r="E15" s="201" t="n"/>
      <c r="F15" s="84" t="n"/>
      <c r="G15" s="84" t="n"/>
      <c r="H15" s="84" t="n"/>
      <c r="I15" s="84" t="n"/>
      <c r="J15" s="84" t="n"/>
      <c r="K15" s="84" t="n"/>
      <c r="L15" s="84" t="n"/>
      <c r="M15" s="84" t="n"/>
      <c r="N15" s="85" t="n"/>
      <c r="O15" s="85" t="n"/>
      <c r="P15" s="85" t="n"/>
      <c r="Q15" s="194" t="n"/>
      <c r="R15" s="194" t="n"/>
      <c r="S15" s="194" t="n"/>
      <c r="T15" s="194" t="n"/>
      <c r="U15" s="194" t="n"/>
      <c r="V15" s="194" t="n"/>
      <c r="W15" s="194" t="n"/>
      <c r="X15" s="194" t="n"/>
      <c r="Y15" s="194" t="n"/>
      <c r="Z15" s="194" t="n"/>
      <c r="AA15" s="194" t="n"/>
      <c r="AB15" s="194" t="n"/>
      <c r="AC15" s="194" t="n"/>
      <c r="AD15" s="194" t="n"/>
      <c r="AE15" s="194" t="n"/>
      <c r="AF15" s="194" t="n"/>
      <c r="AG15" s="194" t="n"/>
      <c r="AH15" s="194" t="n"/>
      <c r="AI15" s="194" t="n"/>
      <c r="AJ15" s="194" t="n"/>
    </row>
    <row r="16" ht="270.75" customHeight="1" s="1">
      <c r="A16" s="231" t="inlineStr">
        <is>
          <t xml:space="preserve">1. Engineering knowledge: Apply the knowledge of mathematics, science, engineering fundamentals and an engineering specialization to the solution of complex engineering problems.
2. Problem analysis: Identify, formulate, review research literature, and analyze complex engineering problems reaching substantiated conclusions using first principles of mathematics, natural sciences, and engineering sciences.
3. Design/development of solutions: Design solutions for complex engineering problems and design system components or processes that meet the specified needs with appropriate consideration for the public health and safety, and the cultural, societal, and environmental
considerations.
4. Conduct investigations of complex problems: Use research-based knowledge and research methods including design of experiments, analysis and interpretation of data, and synthesis of the information to provide valid conclusions.
5. Modern tool usage: Create, select, and apply appropriate techniques, resources, and modern engineering and IT tools including prediction and modeling to complex engineering activities with an understanding of the limitations.
6. The engineer and society: Apply reasoning informed by the contextual knowledge to assess societal, health, safety, legal and cultural issues and the consequent responsibilities relevant to the professional engineering practice.
7. Environment and sustainability: Understand the impact of the professional engineering solutions in societal and environmental contexts, and demonstrate the knowledge of, and need for sustainable development.
8. Ethics: Apply ethical principles and commit to professional ethics and responsibilities and norms of the engineering practice.
9. Individual and team work: Function effectively as an individual, and as a member or leader in diverse teams, and in multidisciplinary settings.
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 Life-long learning: Recognize the need for, and have the preparation and ability to engage in independent and life-long learning in the broadest context of technological change.
</t>
        </is>
      </c>
      <c r="B16" s="232" t="n"/>
      <c r="C16" s="232" t="n"/>
      <c r="D16" s="232" t="n"/>
      <c r="E16" s="232" t="n"/>
      <c r="F16" s="232" t="n"/>
      <c r="G16" s="232" t="n"/>
      <c r="H16" s="232" t="n"/>
      <c r="I16" s="232" t="n"/>
      <c r="J16" s="232" t="n"/>
      <c r="K16" s="232" t="n"/>
      <c r="L16" s="232" t="n"/>
      <c r="M16" s="232" t="n"/>
      <c r="N16" s="232" t="n"/>
      <c r="O16" s="232" t="n"/>
      <c r="P16" s="233" t="n"/>
      <c r="Q16" s="194" t="n"/>
      <c r="R16" s="194" t="n"/>
      <c r="S16" s="194" t="n"/>
      <c r="T16" s="194" t="n"/>
      <c r="U16" s="194" t="n"/>
      <c r="V16" s="194" t="n"/>
      <c r="W16" s="194" t="n"/>
      <c r="X16" s="194" t="n"/>
      <c r="Y16" s="194" t="n"/>
      <c r="Z16" s="194" t="n"/>
      <c r="AA16" s="194" t="n"/>
      <c r="AB16" s="194" t="n"/>
      <c r="AC16" s="194" t="n"/>
      <c r="AD16" s="194" t="n"/>
      <c r="AE16" s="194" t="n"/>
      <c r="AF16" s="194" t="n"/>
      <c r="AG16" s="194" t="n"/>
      <c r="AH16" s="194" t="n"/>
      <c r="AI16" s="194" t="n"/>
      <c r="AJ16" s="194" t="n"/>
    </row>
    <row r="17" ht="28.5" customHeight="1" s="1">
      <c r="A17" s="86" t="inlineStr">
        <is>
          <t>Program Specific Outcomes(PSO)</t>
        </is>
      </c>
      <c r="B17" s="87" t="n"/>
      <c r="C17" s="87" t="n"/>
      <c r="D17" s="87" t="n"/>
      <c r="E17" s="88" t="n"/>
      <c r="F17" s="89" t="n"/>
      <c r="G17" s="89" t="n"/>
      <c r="H17" s="89" t="n"/>
      <c r="I17" s="89" t="n"/>
      <c r="J17" s="89" t="n"/>
      <c r="K17" s="89" t="n"/>
      <c r="L17" s="89" t="n"/>
      <c r="M17" s="89" t="n"/>
      <c r="N17" s="89" t="n"/>
      <c r="O17" s="89" t="n"/>
      <c r="P17" s="89" t="n"/>
      <c r="Q17" s="194" t="n"/>
      <c r="R17" s="194" t="n"/>
      <c r="S17" s="194" t="n"/>
      <c r="T17" s="194" t="n"/>
      <c r="U17" s="194" t="n"/>
      <c r="V17" s="194" t="n"/>
      <c r="W17" s="194" t="n"/>
      <c r="X17" s="194" t="n"/>
      <c r="Y17" s="194" t="n"/>
      <c r="Z17" s="194" t="n"/>
      <c r="AA17" s="194" t="n"/>
      <c r="AB17" s="194" t="n"/>
      <c r="AC17" s="194" t="n"/>
      <c r="AD17" s="194" t="n"/>
      <c r="AE17" s="194" t="n"/>
      <c r="AF17" s="194" t="n"/>
      <c r="AG17" s="194" t="n"/>
      <c r="AH17" s="194" t="n"/>
      <c r="AI17" s="194" t="n"/>
      <c r="AJ17" s="194" t="n"/>
    </row>
    <row r="18" ht="21.75" customHeight="1" s="1">
      <c r="A18" s="90" t="inlineStr">
        <is>
          <t>PSO 1</t>
        </is>
      </c>
      <c r="B18" s="236" t="inlineStr">
        <is>
          <t>Ability to understand client requirements and suggest solutions</t>
        </is>
      </c>
      <c r="C18" s="237" t="n"/>
      <c r="D18" s="237" t="n"/>
      <c r="E18" s="237" t="n"/>
      <c r="F18" s="237" t="n"/>
      <c r="G18" s="237" t="n"/>
      <c r="H18" s="237" t="n"/>
      <c r="I18" s="237" t="n"/>
      <c r="J18" s="237" t="n"/>
      <c r="K18" s="237" t="n"/>
      <c r="L18" s="237" t="n"/>
      <c r="M18" s="237" t="n"/>
      <c r="N18" s="237" t="n"/>
      <c r="O18" s="237" t="n"/>
      <c r="P18" s="238" t="n"/>
      <c r="Q18" s="75" t="n"/>
      <c r="R18" s="194" t="n"/>
      <c r="S18" s="194" t="n"/>
      <c r="T18" s="194" t="n"/>
      <c r="U18" s="194" t="n"/>
      <c r="V18" s="194" t="n"/>
      <c r="W18" s="194" t="n"/>
      <c r="X18" s="194" t="n"/>
      <c r="Y18" s="194" t="n"/>
      <c r="Z18" s="194" t="n"/>
      <c r="AA18" s="194" t="n"/>
      <c r="AB18" s="194" t="n"/>
      <c r="AC18" s="194" t="n"/>
      <c r="AD18" s="194" t="n"/>
      <c r="AE18" s="194" t="n"/>
      <c r="AF18" s="194" t="n"/>
      <c r="AG18" s="194" t="n"/>
      <c r="AH18" s="194" t="n"/>
      <c r="AI18" s="194" t="n"/>
      <c r="AJ18" s="194" t="n"/>
    </row>
    <row r="19" ht="22.5" customHeight="1" s="1">
      <c r="A19" s="91" t="inlineStr">
        <is>
          <t>PSO 2</t>
        </is>
      </c>
      <c r="B19" s="230" t="inlineStr">
        <is>
          <t>Ability to create software for automation and function</t>
        </is>
      </c>
      <c r="C19" s="212" t="n"/>
      <c r="D19" s="212" t="n"/>
      <c r="E19" s="212" t="n"/>
      <c r="F19" s="212" t="n"/>
      <c r="G19" s="212" t="n"/>
      <c r="H19" s="212" t="n"/>
      <c r="I19" s="212" t="n"/>
      <c r="J19" s="212" t="n"/>
      <c r="K19" s="212" t="n"/>
      <c r="L19" s="212" t="n"/>
      <c r="M19" s="212" t="n"/>
      <c r="N19" s="212" t="n"/>
      <c r="O19" s="212" t="n"/>
      <c r="P19" s="213" t="n"/>
      <c r="Q19" s="92" t="n"/>
      <c r="R19" s="7" t="n"/>
      <c r="S19" s="7" t="n"/>
      <c r="T19" s="7" t="n"/>
      <c r="U19" s="7" t="n"/>
      <c r="V19" s="7" t="n"/>
      <c r="W19" s="7" t="n"/>
      <c r="X19" s="7" t="n"/>
      <c r="Y19" s="7" t="n"/>
      <c r="Z19" s="7" t="n"/>
      <c r="AA19" s="7" t="n"/>
      <c r="AB19" s="7" t="n"/>
      <c r="AC19" s="7" t="n"/>
      <c r="AD19" s="7" t="n"/>
      <c r="AE19" s="7" t="n"/>
      <c r="AF19" s="7" t="n"/>
      <c r="AG19" s="7" t="n"/>
      <c r="AH19" s="7" t="n"/>
      <c r="AI19" s="7" t="n"/>
      <c r="AJ19" s="7" t="n"/>
    </row>
    <row r="20" ht="22.5" customHeight="1" s="1">
      <c r="A20" s="93" t="inlineStr">
        <is>
          <t>PSO 3</t>
        </is>
      </c>
      <c r="B20" s="226" t="inlineStr">
        <is>
          <t xml:space="preserve"> Ability to utilise logic &amp; reasoning skills </t>
        </is>
      </c>
      <c r="C20" s="224" t="n"/>
      <c r="D20" s="224" t="n"/>
      <c r="E20" s="224" t="n"/>
      <c r="F20" s="224" t="n"/>
      <c r="G20" s="224" t="n"/>
      <c r="H20" s="224" t="n"/>
      <c r="I20" s="224" t="n"/>
      <c r="J20" s="224" t="n"/>
      <c r="K20" s="224" t="n"/>
      <c r="L20" s="224" t="n"/>
      <c r="M20" s="224" t="n"/>
      <c r="N20" s="224" t="n"/>
      <c r="O20" s="224" t="n"/>
      <c r="P20" s="225" t="n"/>
      <c r="Q20" s="94" t="n"/>
      <c r="R20" s="7" t="n"/>
      <c r="S20" s="7" t="n"/>
      <c r="T20" s="7" t="n"/>
      <c r="U20" s="7" t="n"/>
      <c r="V20" s="7" t="n"/>
      <c r="W20" s="7" t="n"/>
      <c r="X20" s="7" t="n"/>
      <c r="Y20" s="7" t="n"/>
      <c r="Z20" s="7" t="n"/>
      <c r="AA20" s="7" t="n"/>
      <c r="AB20" s="7" t="n"/>
      <c r="AC20" s="7" t="n"/>
      <c r="AD20" s="7" t="n"/>
      <c r="AE20" s="7" t="n"/>
      <c r="AF20" s="7" t="n"/>
      <c r="AG20" s="7" t="n"/>
      <c r="AH20" s="7" t="n"/>
      <c r="AI20" s="7" t="n"/>
      <c r="AJ20" s="7" t="n"/>
    </row>
    <row r="21" ht="22.5" customHeight="1" s="1">
      <c r="A21" s="95" t="n"/>
      <c r="B21" s="95" t="n"/>
      <c r="C21" s="95" t="n"/>
      <c r="D21" s="95" t="n"/>
      <c r="E21" s="95" t="n"/>
      <c r="F21" s="95" t="n"/>
      <c r="G21" s="95" t="n"/>
      <c r="H21" s="95" t="n"/>
      <c r="I21" s="95" t="n"/>
      <c r="J21" s="95" t="n"/>
      <c r="K21" s="95" t="n"/>
      <c r="L21" s="95" t="n"/>
      <c r="M21" s="95" t="n"/>
      <c r="N21" s="95" t="n"/>
      <c r="O21" s="95" t="n"/>
      <c r="P21" s="95" t="n"/>
      <c r="Q21" s="96" t="n"/>
      <c r="R21" s="7" t="n"/>
      <c r="S21" s="7" t="n"/>
      <c r="T21" s="7" t="n"/>
      <c r="U21" s="7" t="n"/>
      <c r="V21" s="7" t="n"/>
      <c r="W21" s="7" t="n"/>
      <c r="X21" s="7" t="n"/>
      <c r="Y21" s="7" t="n"/>
      <c r="Z21" s="7" t="n"/>
      <c r="AA21" s="7" t="n"/>
      <c r="AB21" s="7" t="n"/>
      <c r="AC21" s="7" t="n"/>
      <c r="AD21" s="7" t="n"/>
      <c r="AE21" s="7" t="n"/>
      <c r="AF21" s="7" t="n"/>
      <c r="AG21" s="7" t="n"/>
      <c r="AH21" s="7" t="n"/>
      <c r="AI21" s="7" t="n"/>
      <c r="AJ21" s="7" t="n"/>
    </row>
    <row r="22" ht="22.5" customHeight="1" s="1">
      <c r="A22" s="97" t="n"/>
      <c r="B22" s="97" t="n"/>
      <c r="C22" s="97" t="n"/>
      <c r="D22" s="97" t="n"/>
      <c r="E22" s="97" t="n"/>
      <c r="F22" s="97" t="n"/>
      <c r="G22" s="97" t="n"/>
      <c r="H22" s="97" t="n"/>
      <c r="I22" s="97" t="n"/>
      <c r="J22" s="97" t="n"/>
      <c r="K22" s="97" t="n"/>
      <c r="L22" s="97" t="n"/>
      <c r="M22" s="97" t="n"/>
      <c r="N22" s="97" t="n"/>
      <c r="O22" s="97" t="n"/>
      <c r="P22" s="97" t="n"/>
      <c r="Q22" s="96" t="n"/>
      <c r="R22" s="7" t="n"/>
      <c r="S22" s="7" t="n"/>
      <c r="T22" s="7" t="n"/>
      <c r="U22" s="7" t="n"/>
      <c r="V22" s="7" t="n"/>
      <c r="W22" s="7" t="n"/>
      <c r="X22" s="7" t="n"/>
      <c r="Y22" s="7" t="n"/>
      <c r="Z22" s="7" t="n"/>
      <c r="AA22" s="7" t="n"/>
      <c r="AB22" s="7" t="n"/>
      <c r="AC22" s="7" t="n"/>
      <c r="AD22" s="7" t="n"/>
      <c r="AE22" s="7" t="n"/>
      <c r="AF22" s="7" t="n"/>
      <c r="AG22" s="7" t="n"/>
      <c r="AH22" s="7" t="n"/>
      <c r="AI22" s="7" t="n"/>
      <c r="AJ22" s="7" t="n"/>
    </row>
    <row r="23" ht="22.5" customHeight="1" s="1">
      <c r="A23" s="98" t="inlineStr">
        <is>
          <t>CO-PO MAPPING :</t>
        </is>
      </c>
      <c r="B23" s="99" t="n"/>
      <c r="C23" s="100" t="n"/>
      <c r="D23" s="223" t="inlineStr">
        <is>
          <t>Note:  for CO-PO Mapping: Place '-' if there is no correlation between CO and PO</t>
        </is>
      </c>
      <c r="E23" s="224" t="n"/>
      <c r="F23" s="224" t="n"/>
      <c r="G23" s="224" t="n"/>
      <c r="H23" s="224" t="n"/>
      <c r="I23" s="224" t="n"/>
      <c r="J23" s="224" t="n"/>
      <c r="K23" s="224" t="n"/>
      <c r="L23" s="224" t="n"/>
      <c r="M23" s="224" t="n"/>
      <c r="N23" s="224" t="n"/>
      <c r="O23" s="224" t="n"/>
      <c r="P23" s="225" t="n"/>
      <c r="Q23" s="96" t="n"/>
      <c r="R23" s="7" t="n"/>
      <c r="S23" s="7" t="n"/>
      <c r="T23" s="7" t="n"/>
      <c r="U23" s="7" t="n"/>
      <c r="V23" s="7" t="n"/>
      <c r="W23" s="7" t="n"/>
      <c r="X23" s="7" t="n"/>
      <c r="Y23" s="7" t="n"/>
      <c r="Z23" s="7" t="n"/>
      <c r="AA23" s="7" t="n"/>
      <c r="AB23" s="7" t="n"/>
      <c r="AC23" s="7" t="n"/>
      <c r="AD23" s="7" t="n"/>
      <c r="AE23" s="7" t="n"/>
      <c r="AF23" s="7" t="n"/>
      <c r="AG23" s="7" t="n"/>
      <c r="AH23" s="7" t="n"/>
      <c r="AI23" s="7" t="n"/>
      <c r="AJ23" s="7" t="n"/>
    </row>
    <row r="24" ht="22.5" customHeight="1" s="1">
      <c r="A24" s="101" t="inlineStr">
        <is>
          <t>CO</t>
        </is>
      </c>
      <c r="B24" s="101" t="inlineStr">
        <is>
          <t>PO1</t>
        </is>
      </c>
      <c r="C24" s="101" t="inlineStr">
        <is>
          <t>PO2</t>
        </is>
      </c>
      <c r="D24" s="101" t="inlineStr">
        <is>
          <t>PO3</t>
        </is>
      </c>
      <c r="E24" s="101" t="inlineStr">
        <is>
          <t>PO4</t>
        </is>
      </c>
      <c r="F24" s="101" t="inlineStr">
        <is>
          <t>PO5</t>
        </is>
      </c>
      <c r="G24" s="101" t="inlineStr">
        <is>
          <t>PO6</t>
        </is>
      </c>
      <c r="H24" s="101" t="inlineStr">
        <is>
          <t>PO7</t>
        </is>
      </c>
      <c r="I24" s="101" t="inlineStr">
        <is>
          <t>PO8</t>
        </is>
      </c>
      <c r="J24" s="101" t="inlineStr">
        <is>
          <t>PO9</t>
        </is>
      </c>
      <c r="K24" s="101" t="inlineStr">
        <is>
          <t>PO10</t>
        </is>
      </c>
      <c r="L24" s="101" t="inlineStr">
        <is>
          <t>PO11</t>
        </is>
      </c>
      <c r="M24" s="101" t="inlineStr">
        <is>
          <t>PO12</t>
        </is>
      </c>
      <c r="N24" s="101" t="inlineStr">
        <is>
          <t>PSO1</t>
        </is>
      </c>
      <c r="O24" s="101" t="inlineStr">
        <is>
          <t>PSO2</t>
        </is>
      </c>
      <c r="P24" s="101" t="inlineStr">
        <is>
          <t>PSO3</t>
        </is>
      </c>
      <c r="Q24" s="102" t="n"/>
      <c r="R24" s="7" t="n"/>
      <c r="S24" s="7" t="n"/>
      <c r="T24" s="7" t="n"/>
      <c r="U24" s="7" t="n"/>
      <c r="V24" s="7" t="n"/>
      <c r="W24" s="7" t="n"/>
      <c r="X24" s="7" t="n"/>
      <c r="Y24" s="7" t="n"/>
      <c r="Z24" s="7" t="n"/>
      <c r="AA24" s="7" t="n"/>
      <c r="AB24" s="7" t="n"/>
      <c r="AC24" s="7" t="n"/>
      <c r="AD24" s="7" t="n"/>
      <c r="AE24" s="7" t="n"/>
      <c r="AF24" s="7" t="n"/>
      <c r="AG24" s="7" t="n"/>
      <c r="AH24" s="7" t="n"/>
      <c r="AI24" s="7" t="n"/>
      <c r="AJ24" s="7" t="n"/>
    </row>
    <row r="25" ht="27.75" customHeight="1" s="1">
      <c r="A25" s="103" t="n">
        <v>1</v>
      </c>
      <c r="B25" s="106" t="inlineStr">
        <is>
          <t>-</t>
        </is>
      </c>
      <c r="C25" s="106" t="inlineStr">
        <is>
          <t>-</t>
        </is>
      </c>
      <c r="D25" s="104" t="inlineStr">
        <is>
          <t>-</t>
        </is>
      </c>
      <c r="E25" s="104" t="inlineStr">
        <is>
          <t>-</t>
        </is>
      </c>
      <c r="F25" s="104" t="inlineStr">
        <is>
          <t>-</t>
        </is>
      </c>
      <c r="G25" s="104" t="inlineStr">
        <is>
          <t>-</t>
        </is>
      </c>
      <c r="H25" s="104" t="inlineStr">
        <is>
          <t>-</t>
        </is>
      </c>
      <c r="I25" s="104" t="inlineStr">
        <is>
          <t>-</t>
        </is>
      </c>
      <c r="J25" s="104" t="inlineStr">
        <is>
          <t>-</t>
        </is>
      </c>
      <c r="K25" s="104" t="inlineStr">
        <is>
          <t>-</t>
        </is>
      </c>
      <c r="L25" s="104" t="inlineStr">
        <is>
          <t>-</t>
        </is>
      </c>
      <c r="M25" s="104" t="inlineStr">
        <is>
          <t>-</t>
        </is>
      </c>
      <c r="N25" s="104" t="inlineStr">
        <is>
          <t>-</t>
        </is>
      </c>
      <c r="O25" s="105" t="inlineStr">
        <is>
          <t>-</t>
        </is>
      </c>
      <c r="P25" s="104" t="inlineStr">
        <is>
          <t>-</t>
        </is>
      </c>
      <c r="Q25" s="92" t="n"/>
      <c r="R25" s="7" t="n"/>
      <c r="S25" s="7" t="n"/>
      <c r="T25" s="7" t="n"/>
      <c r="U25" s="7" t="n"/>
      <c r="V25" s="7" t="n"/>
      <c r="W25" s="7" t="n"/>
      <c r="X25" s="7" t="n"/>
      <c r="Y25" s="7" t="n"/>
      <c r="Z25" s="7" t="n"/>
      <c r="AA25" s="7" t="n"/>
      <c r="AB25" s="7" t="n"/>
      <c r="AC25" s="7" t="n"/>
      <c r="AD25" s="7" t="n"/>
      <c r="AE25" s="7" t="n"/>
      <c r="AF25" s="7" t="n"/>
      <c r="AG25" s="7" t="n"/>
      <c r="AH25" s="7" t="n"/>
      <c r="AI25" s="7" t="n"/>
      <c r="AJ25" s="7" t="n"/>
    </row>
    <row r="26" ht="27.75" customHeight="1" s="1">
      <c r="A26" s="103" t="n">
        <v>2</v>
      </c>
      <c r="B26" s="106" t="inlineStr">
        <is>
          <t>-</t>
        </is>
      </c>
      <c r="C26" s="106" t="inlineStr">
        <is>
          <t>-</t>
        </is>
      </c>
      <c r="D26" s="106" t="inlineStr">
        <is>
          <t>-</t>
        </is>
      </c>
      <c r="E26" s="104" t="inlineStr">
        <is>
          <t>-</t>
        </is>
      </c>
      <c r="F26" s="104" t="inlineStr">
        <is>
          <t>-</t>
        </is>
      </c>
      <c r="G26" s="104" t="inlineStr">
        <is>
          <t>-</t>
        </is>
      </c>
      <c r="H26" s="104" t="inlineStr">
        <is>
          <t>-</t>
        </is>
      </c>
      <c r="I26" s="104" t="inlineStr">
        <is>
          <t>-</t>
        </is>
      </c>
      <c r="J26" s="104" t="inlineStr">
        <is>
          <t>-</t>
        </is>
      </c>
      <c r="K26" s="104" t="inlineStr">
        <is>
          <t>-</t>
        </is>
      </c>
      <c r="L26" s="104" t="inlineStr">
        <is>
          <t>-</t>
        </is>
      </c>
      <c r="M26" s="104" t="inlineStr">
        <is>
          <t>-</t>
        </is>
      </c>
      <c r="N26" s="104" t="inlineStr">
        <is>
          <t>-</t>
        </is>
      </c>
      <c r="O26" s="104" t="inlineStr">
        <is>
          <t>-</t>
        </is>
      </c>
      <c r="P26" s="104" t="inlineStr">
        <is>
          <t>-</t>
        </is>
      </c>
      <c r="Q26" s="92" t="n"/>
      <c r="R26" s="7" t="n"/>
      <c r="S26" s="7" t="n"/>
      <c r="T26" s="7" t="n"/>
      <c r="U26" s="7" t="n"/>
      <c r="V26" s="7" t="n"/>
      <c r="W26" s="7" t="n"/>
      <c r="X26" s="7" t="n"/>
      <c r="Y26" s="7" t="n"/>
      <c r="Z26" s="7" t="n"/>
      <c r="AA26" s="7" t="n"/>
      <c r="AB26" s="7" t="n"/>
      <c r="AC26" s="7" t="n"/>
      <c r="AD26" s="7" t="n"/>
      <c r="AE26" s="7" t="n"/>
      <c r="AF26" s="7" t="n"/>
      <c r="AG26" s="7" t="n"/>
      <c r="AH26" s="7" t="n"/>
      <c r="AI26" s="7" t="n"/>
      <c r="AJ26" s="7" t="n"/>
    </row>
    <row r="27" ht="27.75" customHeight="1" s="1">
      <c r="A27" s="103" t="n">
        <v>3</v>
      </c>
      <c r="B27" s="104" t="inlineStr">
        <is>
          <t>-</t>
        </is>
      </c>
      <c r="C27" s="106" t="inlineStr">
        <is>
          <t>-</t>
        </is>
      </c>
      <c r="D27" s="106" t="inlineStr">
        <is>
          <t>-</t>
        </is>
      </c>
      <c r="E27" s="104" t="inlineStr">
        <is>
          <t>-</t>
        </is>
      </c>
      <c r="F27" s="104" t="inlineStr">
        <is>
          <t>-</t>
        </is>
      </c>
      <c r="G27" s="104" t="inlineStr">
        <is>
          <t>-</t>
        </is>
      </c>
      <c r="H27" s="104" t="inlineStr">
        <is>
          <t>-</t>
        </is>
      </c>
      <c r="I27" s="104" t="inlineStr">
        <is>
          <t>-</t>
        </is>
      </c>
      <c r="J27" s="104" t="inlineStr">
        <is>
          <t>-</t>
        </is>
      </c>
      <c r="K27" s="104" t="inlineStr">
        <is>
          <t>-</t>
        </is>
      </c>
      <c r="L27" s="104" t="inlineStr">
        <is>
          <t>-</t>
        </is>
      </c>
      <c r="M27" s="104" t="inlineStr">
        <is>
          <t>-</t>
        </is>
      </c>
      <c r="N27" s="104" t="inlineStr">
        <is>
          <t>-</t>
        </is>
      </c>
      <c r="O27" s="104" t="inlineStr">
        <is>
          <t>-</t>
        </is>
      </c>
      <c r="P27" s="104" t="inlineStr">
        <is>
          <t>-</t>
        </is>
      </c>
      <c r="Q27" s="92" t="n"/>
      <c r="R27" s="7" t="n"/>
      <c r="S27" s="7" t="n"/>
      <c r="T27" s="7" t="n"/>
      <c r="U27" s="7" t="n"/>
      <c r="V27" s="7" t="n"/>
      <c r="W27" s="7" t="n"/>
      <c r="X27" s="7" t="n"/>
      <c r="Y27" s="7" t="n"/>
      <c r="Z27" s="7" t="n"/>
      <c r="AA27" s="7" t="n"/>
      <c r="AB27" s="7" t="n"/>
      <c r="AC27" s="7" t="n"/>
      <c r="AD27" s="7" t="n"/>
      <c r="AE27" s="7" t="n"/>
      <c r="AF27" s="7" t="n"/>
      <c r="AG27" s="7" t="n"/>
      <c r="AH27" s="7" t="n"/>
      <c r="AI27" s="7" t="n"/>
      <c r="AJ27" s="7" t="n"/>
    </row>
    <row r="28" ht="27.75" customHeight="1" s="1">
      <c r="A28" s="103" t="n">
        <v>4</v>
      </c>
      <c r="B28" s="106" t="inlineStr">
        <is>
          <t>-</t>
        </is>
      </c>
      <c r="C28" s="106" t="inlineStr">
        <is>
          <t>-</t>
        </is>
      </c>
      <c r="D28" s="104" t="inlineStr">
        <is>
          <t>-</t>
        </is>
      </c>
      <c r="E28" s="104" t="inlineStr">
        <is>
          <t>-</t>
        </is>
      </c>
      <c r="F28" s="104" t="inlineStr">
        <is>
          <t>-</t>
        </is>
      </c>
      <c r="G28" s="104" t="inlineStr">
        <is>
          <t>-</t>
        </is>
      </c>
      <c r="H28" s="104" t="inlineStr">
        <is>
          <t>-</t>
        </is>
      </c>
      <c r="I28" s="104" t="inlineStr">
        <is>
          <t>-</t>
        </is>
      </c>
      <c r="J28" s="104" t="inlineStr">
        <is>
          <t>-</t>
        </is>
      </c>
      <c r="K28" s="104" t="inlineStr">
        <is>
          <t>-</t>
        </is>
      </c>
      <c r="L28" s="104" t="inlineStr">
        <is>
          <t>-</t>
        </is>
      </c>
      <c r="M28" s="104" t="inlineStr">
        <is>
          <t>-</t>
        </is>
      </c>
      <c r="N28" s="104" t="inlineStr">
        <is>
          <t>-</t>
        </is>
      </c>
      <c r="O28" s="105" t="inlineStr">
        <is>
          <t>-</t>
        </is>
      </c>
      <c r="P28" s="104" t="inlineStr">
        <is>
          <t>-</t>
        </is>
      </c>
      <c r="Q28" s="75" t="n"/>
      <c r="R28" s="194" t="n"/>
      <c r="S28" s="194" t="n"/>
      <c r="T28" s="194" t="n"/>
      <c r="U28" s="194" t="n"/>
      <c r="V28" s="194" t="n"/>
      <c r="W28" s="194" t="n"/>
      <c r="X28" s="194" t="n"/>
      <c r="Y28" s="194" t="n"/>
      <c r="Z28" s="194" t="n"/>
      <c r="AA28" s="194" t="n"/>
      <c r="AB28" s="194" t="n"/>
      <c r="AC28" s="194" t="n"/>
      <c r="AD28" s="194" t="n"/>
      <c r="AE28" s="194" t="n"/>
      <c r="AF28" s="194" t="n"/>
      <c r="AG28" s="194" t="n"/>
      <c r="AH28" s="194" t="n"/>
      <c r="AI28" s="194" t="n"/>
      <c r="AJ28" s="194" t="n"/>
    </row>
    <row r="29" ht="27.75" customHeight="1" s="1">
      <c r="A29" s="103" t="n">
        <v>5</v>
      </c>
      <c r="B29" s="106" t="inlineStr">
        <is>
          <t>-</t>
        </is>
      </c>
      <c r="C29" s="106" t="inlineStr">
        <is>
          <t>-</t>
        </is>
      </c>
      <c r="D29" s="106" t="inlineStr">
        <is>
          <t>-</t>
        </is>
      </c>
      <c r="E29" s="104" t="inlineStr">
        <is>
          <t>-</t>
        </is>
      </c>
      <c r="F29" s="104" t="inlineStr">
        <is>
          <t>-</t>
        </is>
      </c>
      <c r="G29" s="104" t="inlineStr">
        <is>
          <t>-</t>
        </is>
      </c>
      <c r="H29" s="104" t="inlineStr">
        <is>
          <t>-</t>
        </is>
      </c>
      <c r="I29" s="104" t="inlineStr">
        <is>
          <t>-</t>
        </is>
      </c>
      <c r="J29" s="104" t="inlineStr">
        <is>
          <t>-</t>
        </is>
      </c>
      <c r="K29" s="104" t="inlineStr">
        <is>
          <t>-</t>
        </is>
      </c>
      <c r="L29" s="104" t="inlineStr">
        <is>
          <t>-</t>
        </is>
      </c>
      <c r="M29" s="104" t="inlineStr">
        <is>
          <t>-</t>
        </is>
      </c>
      <c r="N29" s="105" t="inlineStr">
        <is>
          <t>-</t>
        </is>
      </c>
      <c r="O29" s="104" t="inlineStr">
        <is>
          <t>-</t>
        </is>
      </c>
      <c r="P29" s="104" t="inlineStr">
        <is>
          <t>-</t>
        </is>
      </c>
      <c r="Q29" s="75" t="n"/>
      <c r="R29" s="194" t="n"/>
      <c r="S29" s="194" t="n"/>
      <c r="T29" s="194" t="n"/>
      <c r="U29" s="194" t="n"/>
      <c r="V29" s="194" t="n"/>
      <c r="W29" s="194" t="n"/>
      <c r="X29" s="194" t="n"/>
      <c r="Y29" s="194" t="n"/>
      <c r="Z29" s="194" t="n"/>
      <c r="AA29" s="194" t="n"/>
      <c r="AB29" s="194" t="n"/>
      <c r="AC29" s="194" t="n"/>
      <c r="AD29" s="194" t="n"/>
      <c r="AE29" s="194" t="n"/>
      <c r="AF29" s="194" t="n"/>
      <c r="AG29" s="194" t="n"/>
      <c r="AH29" s="194" t="n"/>
      <c r="AI29" s="194" t="n"/>
      <c r="AJ29" s="194" t="n"/>
    </row>
    <row r="30" ht="27.75" customHeight="1" s="1">
      <c r="A30" s="103" t="n">
        <v>6</v>
      </c>
      <c r="B30" s="106" t="inlineStr">
        <is>
          <t>-</t>
        </is>
      </c>
      <c r="C30" s="106" t="inlineStr">
        <is>
          <t>-</t>
        </is>
      </c>
      <c r="D30" s="106" t="inlineStr">
        <is>
          <t>-</t>
        </is>
      </c>
      <c r="E30" s="106" t="inlineStr">
        <is>
          <t>-</t>
        </is>
      </c>
      <c r="F30" s="106" t="inlineStr">
        <is>
          <t>-</t>
        </is>
      </c>
      <c r="G30" s="106" t="inlineStr">
        <is>
          <t>-</t>
        </is>
      </c>
      <c r="H30" s="106" t="inlineStr">
        <is>
          <t>-</t>
        </is>
      </c>
      <c r="I30" s="106" t="inlineStr">
        <is>
          <t>-</t>
        </is>
      </c>
      <c r="J30" s="106" t="inlineStr">
        <is>
          <t>-</t>
        </is>
      </c>
      <c r="K30" s="106" t="inlineStr">
        <is>
          <t>-</t>
        </is>
      </c>
      <c r="L30" s="106" t="inlineStr">
        <is>
          <t>-</t>
        </is>
      </c>
      <c r="M30" s="106" t="inlineStr">
        <is>
          <t>-</t>
        </is>
      </c>
      <c r="N30" s="106" t="inlineStr">
        <is>
          <t>-</t>
        </is>
      </c>
      <c r="O30" s="106" t="inlineStr">
        <is>
          <t>-</t>
        </is>
      </c>
      <c r="P30" s="106" t="inlineStr">
        <is>
          <t>-</t>
        </is>
      </c>
      <c r="Q30" s="75" t="n"/>
      <c r="R30" s="194" t="n"/>
      <c r="S30" s="194" t="n"/>
      <c r="T30" s="194" t="n"/>
      <c r="U30" s="194" t="n"/>
      <c r="V30" s="194" t="n"/>
      <c r="W30" s="194" t="n"/>
      <c r="X30" s="194" t="n"/>
      <c r="Y30" s="194" t="n"/>
      <c r="Z30" s="194" t="n"/>
      <c r="AA30" s="194" t="n"/>
      <c r="AB30" s="194" t="n"/>
      <c r="AC30" s="194" t="n"/>
      <c r="AD30" s="194" t="n"/>
      <c r="AE30" s="194" t="n"/>
      <c r="AF30" s="194" t="n"/>
      <c r="AG30" s="194" t="n"/>
      <c r="AH30" s="194" t="n"/>
      <c r="AI30" s="194" t="n"/>
      <c r="AJ30" s="194" t="n"/>
    </row>
    <row r="31" ht="27.75" customHeight="1" s="1">
      <c r="A31" s="264" t="inlineStr">
        <is>
          <t>AVERAGE</t>
        </is>
      </c>
      <c r="B31" s="68">
        <f>IFERROR(AVERAGE(B25:B30),"-")</f>
        <v/>
      </c>
      <c r="C31" s="68">
        <f>IFERROR(AVERAGE(C25:C30),"-")</f>
        <v/>
      </c>
      <c r="D31" s="68">
        <f>IFERROR(AVERAGE(D25:D30),"-")</f>
        <v/>
      </c>
      <c r="E31" s="264">
        <f>IFERROR(AVERAGE(E25:E30),"-")</f>
        <v/>
      </c>
      <c r="F31" s="264">
        <f>IFERROR(AVERAGE(F25:F30),"-")</f>
        <v/>
      </c>
      <c r="G31" s="264">
        <f>IFERROR(AVERAGE(G25:G30),"-")</f>
        <v/>
      </c>
      <c r="H31" s="264">
        <f>IFERROR(AVERAGE(H25:H30),"-")</f>
        <v/>
      </c>
      <c r="I31" s="264">
        <f>IFERROR(AVERAGE(I25:I30),"-")</f>
        <v/>
      </c>
      <c r="J31" s="264">
        <f>IFERROR(AVERAGE(J25:J30),"-")</f>
        <v/>
      </c>
      <c r="K31" s="264">
        <f>IFERROR(AVERAGE(K25:K30),"-")</f>
        <v/>
      </c>
      <c r="L31" s="264">
        <f>IFERROR(AVERAGE(L25:L30),"-")</f>
        <v/>
      </c>
      <c r="M31" s="264">
        <f>IFERROR(AVERAGE(M25:M30),"-")</f>
        <v/>
      </c>
      <c r="N31" s="108">
        <f>IFERROR(AVERAGE(N25:N30),"-")</f>
        <v/>
      </c>
      <c r="O31" s="108">
        <f>IFERROR(AVERAGE(O25:O30),"-")</f>
        <v/>
      </c>
      <c r="P31" s="264">
        <f>IFERROR(AVERAGE(P25:P30),"-")</f>
        <v/>
      </c>
      <c r="Q31" s="75" t="n"/>
      <c r="R31" s="194" t="n"/>
      <c r="S31" s="194" t="n"/>
      <c r="T31" s="194" t="n"/>
      <c r="U31" s="194" t="n"/>
      <c r="V31" s="194" t="n"/>
      <c r="W31" s="194" t="n"/>
      <c r="X31" s="194" t="n"/>
      <c r="Y31" s="194" t="n"/>
      <c r="Z31" s="194" t="n"/>
      <c r="AA31" s="194" t="n"/>
      <c r="AB31" s="194" t="n"/>
      <c r="AC31" s="194" t="n"/>
      <c r="AD31" s="194" t="n"/>
      <c r="AE31" s="194" t="n"/>
      <c r="AF31" s="194" t="n"/>
      <c r="AG31" s="194" t="n"/>
      <c r="AH31" s="194" t="n"/>
      <c r="AI31" s="194" t="n"/>
      <c r="AJ31" s="194" t="n"/>
    </row>
    <row r="32" ht="12" customHeight="1" s="1">
      <c r="A32" s="201" t="n"/>
      <c r="B32" s="201" t="n"/>
      <c r="C32" s="201" t="n"/>
      <c r="D32" s="201" t="n"/>
      <c r="E32" s="201" t="n"/>
      <c r="F32" s="201" t="n"/>
      <c r="G32" s="201" t="n"/>
      <c r="H32" s="201" t="n"/>
      <c r="I32" s="201" t="n"/>
      <c r="J32" s="201" t="n"/>
      <c r="K32" s="201" t="n"/>
      <c r="L32" s="201" t="n"/>
      <c r="M32" s="201" t="n"/>
      <c r="N32" s="201" t="n"/>
      <c r="O32" s="201" t="n"/>
      <c r="P32" s="201" t="n"/>
      <c r="Q32" s="200" t="n"/>
      <c r="R32" s="200" t="n"/>
      <c r="S32" s="200" t="n"/>
      <c r="T32" s="194" t="n"/>
      <c r="U32" s="194" t="n"/>
      <c r="V32" s="194" t="n"/>
      <c r="W32" s="194" t="n"/>
      <c r="X32" s="194" t="n"/>
      <c r="Y32" s="194" t="n"/>
      <c r="Z32" s="194" t="n"/>
      <c r="AA32" s="194" t="n"/>
      <c r="AB32" s="194" t="n"/>
      <c r="AC32" s="194" t="n"/>
      <c r="AD32" s="194" t="n"/>
      <c r="AE32" s="194" t="n"/>
      <c r="AF32" s="194" t="n"/>
      <c r="AG32" s="194" t="n"/>
      <c r="AH32" s="194" t="n"/>
      <c r="AI32" s="194" t="n"/>
      <c r="AJ32" s="194" t="n"/>
    </row>
    <row r="33" ht="12" customHeight="1" s="1">
      <c r="A33" s="194" t="n"/>
      <c r="B33" s="194" t="n"/>
      <c r="C33" s="194" t="n"/>
      <c r="D33" s="194" t="n"/>
      <c r="E33" s="194" t="n"/>
      <c r="F33" s="194" t="n"/>
      <c r="G33" s="194" t="n"/>
      <c r="H33" s="194" t="n"/>
      <c r="I33" s="194" t="n"/>
      <c r="J33" s="194" t="n"/>
      <c r="K33" s="194" t="n"/>
      <c r="L33" s="194" t="n"/>
      <c r="M33" s="194" t="n"/>
      <c r="N33" s="194" t="n"/>
      <c r="O33" s="194" t="n"/>
      <c r="P33" s="109" t="n"/>
      <c r="Q33" s="110" t="n"/>
      <c r="R33" s="110" t="n"/>
      <c r="S33" s="110" t="n"/>
      <c r="T33" s="111" t="n"/>
      <c r="U33" s="194" t="n"/>
      <c r="V33" s="194" t="n"/>
      <c r="W33" s="194" t="n"/>
      <c r="X33" s="194" t="n"/>
      <c r="Y33" s="194" t="n"/>
      <c r="Z33" s="194" t="n"/>
      <c r="AA33" s="194" t="n"/>
      <c r="AB33" s="194" t="n"/>
      <c r="AC33" s="194" t="n"/>
      <c r="AD33" s="194" t="n"/>
      <c r="AE33" s="194" t="n"/>
      <c r="AF33" s="194" t="n"/>
      <c r="AG33" s="194" t="n"/>
      <c r="AH33" s="194" t="n"/>
      <c r="AI33" s="194" t="n"/>
      <c r="AJ33" s="194" t="n"/>
    </row>
    <row r="34" ht="12" customHeight="1" s="1">
      <c r="A34" s="194" t="n"/>
      <c r="B34" s="194" t="n"/>
      <c r="C34" s="194" t="n"/>
      <c r="D34" s="194" t="n"/>
      <c r="E34" s="194" t="n"/>
      <c r="F34" s="194" t="n"/>
      <c r="G34" s="194" t="n"/>
      <c r="H34" s="194" t="n"/>
      <c r="I34" s="194" t="n"/>
      <c r="J34" s="194" t="n"/>
      <c r="K34" s="194" t="n"/>
      <c r="L34" s="194" t="n"/>
      <c r="M34" s="194" t="n"/>
      <c r="N34" s="194" t="n"/>
      <c r="O34" s="194" t="n"/>
      <c r="P34" s="109" t="n"/>
      <c r="Q34" s="110" t="n"/>
      <c r="R34" s="110" t="n"/>
      <c r="S34" s="110" t="n"/>
      <c r="T34" s="111" t="n"/>
      <c r="U34" s="194" t="n"/>
      <c r="V34" s="194" t="n"/>
      <c r="W34" s="194" t="n"/>
      <c r="X34" s="194" t="n"/>
      <c r="Y34" s="194" t="n"/>
      <c r="Z34" s="194" t="n"/>
      <c r="AA34" s="194" t="n"/>
      <c r="AB34" s="194" t="n"/>
      <c r="AC34" s="194" t="n"/>
      <c r="AD34" s="194" t="n"/>
      <c r="AE34" s="194" t="n"/>
      <c r="AF34" s="194" t="n"/>
      <c r="AG34" s="194" t="n"/>
      <c r="AH34" s="194" t="n"/>
      <c r="AI34" s="194" t="n"/>
      <c r="AJ34" s="194" t="n"/>
    </row>
    <row r="35" ht="12" customHeight="1" s="1">
      <c r="A35" s="194" t="n"/>
      <c r="B35" s="194" t="n"/>
      <c r="C35" s="194" t="n"/>
      <c r="D35" s="194" t="n"/>
      <c r="E35" s="194" t="n"/>
      <c r="F35" s="194" t="n"/>
      <c r="G35" s="194" t="n"/>
      <c r="H35" s="194" t="n"/>
      <c r="I35" s="194" t="n"/>
      <c r="J35" s="194" t="n"/>
      <c r="K35" s="194" t="n"/>
      <c r="L35" s="194" t="n"/>
      <c r="M35" s="194" t="n"/>
      <c r="N35" s="194" t="n"/>
      <c r="O35" s="194" t="n"/>
      <c r="P35" s="109" t="n"/>
      <c r="Q35" s="110" t="n"/>
      <c r="R35" s="110" t="n"/>
      <c r="S35" s="110" t="n"/>
      <c r="T35" s="111" t="n"/>
      <c r="U35" s="194" t="n"/>
      <c r="V35" s="194" t="n"/>
      <c r="W35" s="194" t="n"/>
      <c r="X35" s="194" t="n"/>
      <c r="Y35" s="194" t="n"/>
      <c r="Z35" s="194" t="n"/>
      <c r="AA35" s="194" t="n"/>
      <c r="AB35" s="194" t="n"/>
      <c r="AC35" s="194" t="n"/>
      <c r="AD35" s="194" t="n"/>
      <c r="AE35" s="194" t="n"/>
      <c r="AF35" s="194" t="n"/>
      <c r="AG35" s="194" t="n"/>
      <c r="AH35" s="194" t="n"/>
      <c r="AI35" s="194" t="n"/>
      <c r="AJ35" s="194" t="n"/>
    </row>
    <row r="36" ht="12" customHeight="1" s="1">
      <c r="A36" s="194" t="n"/>
      <c r="B36" s="194" t="n"/>
      <c r="C36" s="194" t="n"/>
      <c r="D36" s="194" t="n"/>
      <c r="E36" s="194" t="n"/>
      <c r="F36" s="194" t="n"/>
      <c r="G36" s="194" t="n"/>
      <c r="H36" s="194" t="n"/>
      <c r="I36" s="200" t="n"/>
      <c r="J36" s="200" t="n"/>
      <c r="K36" s="200" t="n"/>
      <c r="L36" s="200" t="n"/>
      <c r="M36" s="200" t="n"/>
      <c r="N36" s="200" t="n"/>
      <c r="O36" s="200" t="n"/>
      <c r="P36" s="112" t="n"/>
      <c r="Q36" s="110" t="n"/>
      <c r="R36" s="110" t="n"/>
      <c r="S36" s="110" t="n"/>
      <c r="T36" s="111" t="n"/>
      <c r="U36" s="194" t="n"/>
      <c r="V36" s="194" t="n"/>
      <c r="W36" s="194" t="n"/>
      <c r="X36" s="194" t="n"/>
      <c r="Y36" s="194" t="n"/>
      <c r="Z36" s="194" t="n"/>
      <c r="AA36" s="194" t="n"/>
      <c r="AB36" s="194" t="n"/>
      <c r="AC36" s="194" t="n"/>
      <c r="AD36" s="194" t="n"/>
      <c r="AE36" s="194" t="n"/>
      <c r="AF36" s="194" t="n"/>
      <c r="AG36" s="194" t="n"/>
      <c r="AH36" s="194" t="n"/>
      <c r="AI36" s="194" t="n"/>
      <c r="AJ36" s="194" t="n"/>
    </row>
    <row r="37" ht="12" customHeight="1" s="1">
      <c r="A37" s="194" t="n"/>
      <c r="B37" s="194" t="n"/>
      <c r="C37" s="194" t="n"/>
      <c r="D37" s="194" t="n"/>
      <c r="E37" s="194" t="n"/>
      <c r="F37" s="194" t="n"/>
      <c r="G37" s="194" t="n"/>
      <c r="H37" s="109" t="n"/>
      <c r="I37" s="110" t="n"/>
      <c r="J37" s="110" t="n"/>
      <c r="K37" s="110" t="n"/>
      <c r="L37" s="110" t="n"/>
      <c r="M37" s="110" t="n"/>
      <c r="N37" s="110" t="n"/>
      <c r="O37" s="110" t="n"/>
      <c r="P37" s="110" t="n"/>
      <c r="Q37" s="110" t="n"/>
      <c r="R37" s="110" t="n"/>
      <c r="S37" s="110" t="n"/>
      <c r="T37" s="111" t="n"/>
      <c r="U37" s="194" t="n"/>
      <c r="V37" s="194" t="n"/>
      <c r="W37" s="194" t="n"/>
      <c r="X37" s="194" t="n"/>
      <c r="Y37" s="194" t="n"/>
      <c r="Z37" s="194" t="n"/>
      <c r="AA37" s="194" t="n"/>
      <c r="AB37" s="194" t="n"/>
      <c r="AC37" s="194" t="n"/>
      <c r="AD37" s="194" t="n"/>
      <c r="AE37" s="194" t="n"/>
      <c r="AF37" s="194" t="n"/>
      <c r="AG37" s="194" t="n"/>
      <c r="AH37" s="194" t="n"/>
      <c r="AI37" s="194" t="n"/>
      <c r="AJ37" s="194" t="n"/>
    </row>
    <row r="38" ht="12" customHeight="1" s="1">
      <c r="A38" s="194" t="n"/>
      <c r="B38" s="194" t="n"/>
      <c r="C38" s="194" t="n"/>
      <c r="D38" s="194" t="n"/>
      <c r="E38" s="194" t="n"/>
      <c r="F38" s="194" t="n"/>
      <c r="G38" s="194" t="n"/>
      <c r="H38" s="109" t="n"/>
      <c r="I38" s="110" t="n"/>
      <c r="J38" s="110" t="n"/>
      <c r="K38" s="110" t="n"/>
      <c r="L38" s="110" t="n"/>
      <c r="M38" s="110" t="n"/>
      <c r="N38" s="110" t="n"/>
      <c r="O38" s="110" t="n"/>
      <c r="P38" s="110" t="n"/>
      <c r="Q38" s="110" t="n"/>
      <c r="R38" s="110" t="n"/>
      <c r="S38" s="110" t="n"/>
      <c r="T38" s="111" t="n"/>
      <c r="U38" s="194" t="n"/>
      <c r="V38" s="194" t="n"/>
      <c r="W38" s="194" t="n"/>
      <c r="X38" s="194" t="n"/>
      <c r="Y38" s="194" t="n"/>
      <c r="Z38" s="194" t="n"/>
      <c r="AA38" s="194" t="n"/>
      <c r="AB38" s="194" t="n"/>
      <c r="AC38" s="194" t="n"/>
      <c r="AD38" s="194" t="n"/>
      <c r="AE38" s="194" t="n"/>
      <c r="AF38" s="194" t="n"/>
      <c r="AG38" s="194" t="n"/>
      <c r="AH38" s="194" t="n"/>
      <c r="AI38" s="194" t="n"/>
      <c r="AJ38" s="194" t="n"/>
    </row>
    <row r="39" ht="12" customHeight="1" s="1">
      <c r="A39" s="194" t="n"/>
      <c r="B39" s="194" t="n"/>
      <c r="C39" s="194" t="n"/>
      <c r="D39" s="194" t="n"/>
      <c r="E39" s="194" t="n"/>
      <c r="F39" s="194" t="n"/>
      <c r="G39" s="194" t="n"/>
      <c r="H39" s="109" t="n"/>
      <c r="I39" s="110" t="n"/>
      <c r="J39" s="110" t="n"/>
      <c r="K39" s="110" t="n"/>
      <c r="L39" s="110" t="n"/>
      <c r="M39" s="110" t="n"/>
      <c r="N39" s="110" t="n"/>
      <c r="O39" s="110" t="n"/>
      <c r="P39" s="110" t="n"/>
      <c r="Q39" s="110" t="n"/>
      <c r="R39" s="110" t="n"/>
      <c r="S39" s="110" t="n"/>
      <c r="T39" s="111" t="n"/>
      <c r="U39" s="194" t="n"/>
      <c r="V39" s="194" t="n"/>
      <c r="W39" s="194" t="n"/>
      <c r="X39" s="194" t="n"/>
      <c r="Y39" s="194" t="n"/>
      <c r="Z39" s="194" t="n"/>
      <c r="AA39" s="194" t="n"/>
      <c r="AB39" s="194" t="n"/>
      <c r="AC39" s="194" t="n"/>
      <c r="AD39" s="194" t="n"/>
      <c r="AE39" s="194" t="n"/>
      <c r="AF39" s="194" t="n"/>
      <c r="AG39" s="194" t="n"/>
      <c r="AH39" s="194" t="n"/>
      <c r="AI39" s="194" t="n"/>
      <c r="AJ39" s="194" t="n"/>
    </row>
    <row r="40" ht="12" customHeight="1" s="1">
      <c r="A40" s="194" t="n"/>
      <c r="B40" s="194" t="n"/>
      <c r="C40" s="194" t="n"/>
      <c r="D40" s="194" t="n"/>
      <c r="E40" s="194" t="n"/>
      <c r="F40" s="194" t="n"/>
      <c r="G40" s="194" t="n"/>
      <c r="H40" s="109" t="n"/>
      <c r="I40" s="110" t="n"/>
      <c r="J40" s="110" t="n"/>
      <c r="K40" s="110" t="n"/>
      <c r="L40" s="110" t="n"/>
      <c r="M40" s="110" t="n"/>
      <c r="N40" s="110" t="n"/>
      <c r="O40" s="110" t="n"/>
      <c r="P40" s="110" t="n"/>
      <c r="Q40" s="110" t="n"/>
      <c r="R40" s="110" t="n"/>
      <c r="S40" s="110" t="n"/>
      <c r="T40" s="111" t="n"/>
      <c r="U40" s="194" t="n"/>
      <c r="V40" s="194" t="n"/>
      <c r="W40" s="194" t="n"/>
      <c r="X40" s="194" t="n"/>
      <c r="Y40" s="194" t="n"/>
      <c r="Z40" s="194" t="n"/>
      <c r="AA40" s="194" t="n"/>
      <c r="AB40" s="194" t="n"/>
      <c r="AC40" s="194" t="n"/>
      <c r="AD40" s="194" t="n"/>
      <c r="AE40" s="194" t="n"/>
      <c r="AF40" s="194" t="n"/>
      <c r="AG40" s="194" t="n"/>
      <c r="AH40" s="194" t="n"/>
      <c r="AI40" s="194" t="n"/>
      <c r="AJ40" s="194" t="n"/>
    </row>
    <row r="41" ht="12" customHeight="1" s="1">
      <c r="A41" s="194" t="n"/>
      <c r="B41" s="194" t="n"/>
      <c r="C41" s="194" t="n"/>
      <c r="D41" s="194" t="n"/>
      <c r="E41" s="194" t="n"/>
      <c r="F41" s="194" t="n"/>
      <c r="G41" s="194" t="n"/>
      <c r="H41" s="109" t="n"/>
      <c r="I41" s="110" t="n"/>
      <c r="J41" s="110" t="n"/>
      <c r="K41" s="110" t="n"/>
      <c r="L41" s="110" t="n"/>
      <c r="M41" s="110" t="n"/>
      <c r="N41" s="110" t="n"/>
      <c r="O41" s="110" t="n"/>
      <c r="P41" s="110" t="n"/>
      <c r="Q41" s="110" t="n"/>
      <c r="R41" s="110" t="n"/>
      <c r="S41" s="110" t="n"/>
      <c r="T41" s="111" t="n"/>
      <c r="U41" s="194" t="n"/>
      <c r="V41" s="194" t="n"/>
      <c r="W41" s="194" t="n"/>
      <c r="X41" s="194" t="n"/>
      <c r="Y41" s="194" t="n"/>
      <c r="Z41" s="194" t="n"/>
      <c r="AA41" s="194" t="n"/>
      <c r="AB41" s="194" t="n"/>
      <c r="AC41" s="194" t="n"/>
      <c r="AD41" s="194" t="n"/>
      <c r="AE41" s="194" t="n"/>
      <c r="AF41" s="194" t="n"/>
      <c r="AG41" s="194" t="n"/>
      <c r="AH41" s="194" t="n"/>
      <c r="AI41" s="194" t="n"/>
      <c r="AJ41" s="194" t="n"/>
    </row>
    <row r="42" ht="12" customHeight="1" s="1">
      <c r="A42" s="194" t="n"/>
      <c r="B42" s="194" t="n"/>
      <c r="C42" s="194" t="n"/>
      <c r="D42" s="194" t="n"/>
      <c r="E42" s="194" t="n"/>
      <c r="F42" s="194" t="n"/>
      <c r="G42" s="194" t="n"/>
      <c r="H42" s="109" t="n"/>
      <c r="I42" s="110" t="n"/>
      <c r="J42" s="110" t="n"/>
      <c r="K42" s="110" t="n"/>
      <c r="L42" s="110" t="n"/>
      <c r="M42" s="110" t="n"/>
      <c r="N42" s="110" t="n"/>
      <c r="O42" s="110" t="n"/>
      <c r="P42" s="110" t="n"/>
      <c r="Q42" s="110" t="n"/>
      <c r="R42" s="110" t="n"/>
      <c r="S42" s="110" t="n"/>
      <c r="T42" s="111" t="n"/>
      <c r="U42" s="194" t="n"/>
      <c r="V42" s="194" t="n"/>
      <c r="W42" s="194" t="n"/>
      <c r="X42" s="194" t="n"/>
      <c r="Y42" s="194" t="n"/>
      <c r="Z42" s="194" t="n"/>
      <c r="AA42" s="194" t="n"/>
      <c r="AB42" s="194" t="n"/>
      <c r="AC42" s="194" t="n"/>
      <c r="AD42" s="194" t="n"/>
      <c r="AE42" s="194" t="n"/>
      <c r="AF42" s="194" t="n"/>
      <c r="AG42" s="194" t="n"/>
      <c r="AH42" s="194" t="n"/>
      <c r="AI42" s="194" t="n"/>
      <c r="AJ42" s="194" t="n"/>
    </row>
    <row r="43" ht="12" customHeight="1" s="1">
      <c r="A43" s="194" t="n"/>
      <c r="B43" s="194" t="n"/>
      <c r="C43" s="194" t="n"/>
      <c r="D43" s="194" t="n"/>
      <c r="E43" s="194" t="n"/>
      <c r="F43" s="194" t="n"/>
      <c r="G43" s="194" t="n"/>
      <c r="H43" s="109" t="n"/>
      <c r="I43" s="110" t="n"/>
      <c r="J43" s="110" t="n"/>
      <c r="K43" s="110" t="n"/>
      <c r="L43" s="110" t="n"/>
      <c r="M43" s="110" t="n"/>
      <c r="N43" s="110" t="n"/>
      <c r="O43" s="110" t="n"/>
      <c r="P43" s="110" t="n"/>
      <c r="Q43" s="110" t="n"/>
      <c r="R43" s="110" t="n"/>
      <c r="S43" s="110" t="n"/>
      <c r="T43" s="111" t="n"/>
      <c r="U43" s="194" t="n"/>
      <c r="V43" s="194" t="n"/>
      <c r="W43" s="194" t="n"/>
      <c r="X43" s="194" t="n"/>
      <c r="Y43" s="194" t="n"/>
      <c r="Z43" s="194" t="n"/>
      <c r="AA43" s="194" t="n"/>
      <c r="AB43" s="194" t="n"/>
      <c r="AC43" s="194" t="n"/>
      <c r="AD43" s="194" t="n"/>
      <c r="AE43" s="194" t="n"/>
      <c r="AF43" s="194" t="n"/>
      <c r="AG43" s="194" t="n"/>
      <c r="AH43" s="194" t="n"/>
      <c r="AI43" s="194" t="n"/>
      <c r="AJ43" s="194" t="n"/>
    </row>
    <row r="44" ht="12" customHeight="1" s="1">
      <c r="A44" s="194" t="n"/>
      <c r="B44" s="194" t="n"/>
      <c r="C44" s="194" t="n"/>
      <c r="D44" s="194" t="n"/>
      <c r="E44" s="194" t="n"/>
      <c r="F44" s="194" t="n"/>
      <c r="G44" s="194" t="n"/>
      <c r="H44" s="109" t="n"/>
      <c r="I44" s="110" t="n"/>
      <c r="J44" s="110" t="n"/>
      <c r="K44" s="110" t="n"/>
      <c r="L44" s="110" t="n"/>
      <c r="M44" s="110" t="n"/>
      <c r="N44" s="110" t="n"/>
      <c r="O44" s="110" t="n"/>
      <c r="P44" s="110" t="n"/>
      <c r="Q44" s="110" t="n"/>
      <c r="R44" s="110" t="n"/>
      <c r="S44" s="110" t="n"/>
      <c r="T44" s="111" t="n"/>
      <c r="U44" s="194" t="n"/>
      <c r="V44" s="194" t="n"/>
      <c r="W44" s="194" t="n"/>
      <c r="X44" s="194" t="n"/>
      <c r="Y44" s="194" t="n"/>
      <c r="Z44" s="194" t="n"/>
      <c r="AA44" s="194" t="n"/>
      <c r="AB44" s="194" t="n"/>
      <c r="AC44" s="194" t="n"/>
      <c r="AD44" s="194" t="n"/>
      <c r="AE44" s="194" t="n"/>
      <c r="AF44" s="194" t="n"/>
      <c r="AG44" s="194" t="n"/>
      <c r="AH44" s="194" t="n"/>
      <c r="AI44" s="194" t="n"/>
      <c r="AJ44" s="194" t="n"/>
    </row>
    <row r="45" ht="12" customHeight="1" s="1">
      <c r="A45" s="194" t="n"/>
      <c r="B45" s="194" t="n"/>
      <c r="C45" s="194" t="n"/>
      <c r="D45" s="194" t="n"/>
      <c r="E45" s="194" t="n"/>
      <c r="F45" s="194" t="n"/>
      <c r="G45" s="194" t="n"/>
      <c r="H45" s="109" t="n"/>
      <c r="I45" s="110" t="n"/>
      <c r="J45" s="110" t="n"/>
      <c r="K45" s="110" t="n"/>
      <c r="L45" s="110" t="n"/>
      <c r="M45" s="110" t="n"/>
      <c r="N45" s="110" t="n"/>
      <c r="O45" s="110" t="n"/>
      <c r="P45" s="110" t="n"/>
      <c r="Q45" s="110" t="n"/>
      <c r="R45" s="110" t="n"/>
      <c r="S45" s="110" t="n"/>
      <c r="T45" s="111" t="n"/>
      <c r="U45" s="194" t="n"/>
      <c r="V45" s="194" t="n"/>
      <c r="W45" s="194" t="n"/>
      <c r="X45" s="194" t="n"/>
      <c r="Y45" s="194" t="n"/>
      <c r="Z45" s="194" t="n"/>
      <c r="AA45" s="194" t="n"/>
      <c r="AB45" s="194" t="n"/>
      <c r="AC45" s="194" t="n"/>
      <c r="AD45" s="194" t="n"/>
      <c r="AE45" s="194" t="n"/>
      <c r="AF45" s="194" t="n"/>
      <c r="AG45" s="194" t="n"/>
      <c r="AH45" s="194" t="n"/>
      <c r="AI45" s="194" t="n"/>
      <c r="AJ45" s="194" t="n"/>
    </row>
    <row r="46" ht="12" customHeight="1" s="1">
      <c r="A46" s="194" t="n"/>
      <c r="B46" s="194" t="n"/>
      <c r="C46" s="194" t="n"/>
      <c r="D46" s="194" t="n"/>
      <c r="E46" s="194" t="n"/>
      <c r="F46" s="194" t="n"/>
      <c r="G46" s="194" t="n"/>
      <c r="H46" s="109" t="n"/>
      <c r="I46" s="110" t="n"/>
      <c r="J46" s="110" t="n"/>
      <c r="K46" s="110" t="n"/>
      <c r="L46" s="110" t="n"/>
      <c r="M46" s="110" t="n"/>
      <c r="N46" s="110" t="n"/>
      <c r="O46" s="110" t="n"/>
      <c r="P46" s="110" t="n"/>
      <c r="Q46" s="110" t="n"/>
      <c r="R46" s="110" t="n"/>
      <c r="S46" s="110" t="n"/>
      <c r="T46" s="111" t="n"/>
      <c r="U46" s="194" t="n"/>
      <c r="V46" s="194" t="n"/>
      <c r="W46" s="194" t="n"/>
      <c r="X46" s="194" t="n"/>
      <c r="Y46" s="194" t="n"/>
      <c r="Z46" s="194" t="n"/>
      <c r="AA46" s="194" t="n"/>
      <c r="AB46" s="194" t="n"/>
      <c r="AC46" s="194" t="n"/>
      <c r="AD46" s="194" t="n"/>
      <c r="AE46" s="194" t="n"/>
      <c r="AF46" s="194" t="n"/>
      <c r="AG46" s="194" t="n"/>
      <c r="AH46" s="194" t="n"/>
      <c r="AI46" s="194" t="n"/>
      <c r="AJ46" s="194" t="n"/>
    </row>
    <row r="47" ht="12" customHeight="1" s="1">
      <c r="A47" s="194" t="n"/>
      <c r="B47" s="194" t="n"/>
      <c r="C47" s="194" t="n"/>
      <c r="D47" s="194" t="n"/>
      <c r="E47" s="194" t="n"/>
      <c r="F47" s="194" t="n"/>
      <c r="G47" s="194" t="n"/>
      <c r="H47" s="109" t="n"/>
      <c r="I47" s="110" t="n"/>
      <c r="J47" s="110" t="n"/>
      <c r="K47" s="110" t="n"/>
      <c r="L47" s="110" t="n"/>
      <c r="M47" s="110" t="n"/>
      <c r="N47" s="110" t="n"/>
      <c r="O47" s="110" t="n"/>
      <c r="P47" s="110" t="n"/>
      <c r="Q47" s="110" t="n"/>
      <c r="R47" s="110" t="n"/>
      <c r="S47" s="110" t="n"/>
      <c r="T47" s="111" t="n"/>
      <c r="U47" s="194" t="n"/>
      <c r="V47" s="194" t="n"/>
      <c r="W47" s="194" t="n"/>
      <c r="X47" s="194" t="n"/>
      <c r="Y47" s="194" t="n"/>
      <c r="Z47" s="194" t="n"/>
      <c r="AA47" s="194" t="n"/>
      <c r="AB47" s="194" t="n"/>
      <c r="AC47" s="194" t="n"/>
      <c r="AD47" s="194" t="n"/>
      <c r="AE47" s="194" t="n"/>
      <c r="AF47" s="194" t="n"/>
      <c r="AG47" s="194" t="n"/>
      <c r="AH47" s="194" t="n"/>
      <c r="AI47" s="194" t="n"/>
      <c r="AJ47" s="194" t="n"/>
    </row>
    <row r="48" ht="12" customHeight="1" s="1">
      <c r="A48" s="194" t="n"/>
      <c r="B48" s="194" t="n"/>
      <c r="C48" s="194" t="n"/>
      <c r="D48" s="194" t="n"/>
      <c r="E48" s="194" t="n"/>
      <c r="F48" s="194" t="n"/>
      <c r="G48" s="194" t="n"/>
      <c r="H48" s="109" t="n"/>
      <c r="I48" s="110" t="n"/>
      <c r="J48" s="110" t="n"/>
      <c r="K48" s="110" t="n"/>
      <c r="L48" s="110" t="n"/>
      <c r="M48" s="110" t="n"/>
      <c r="N48" s="110" t="n"/>
      <c r="O48" s="110" t="n"/>
      <c r="P48" s="110" t="n"/>
      <c r="Q48" s="110" t="n"/>
      <c r="R48" s="110" t="n"/>
      <c r="S48" s="110" t="n"/>
      <c r="T48" s="111" t="n"/>
      <c r="U48" s="194" t="n"/>
      <c r="V48" s="194" t="n"/>
      <c r="W48" s="194" t="n"/>
      <c r="X48" s="194" t="n"/>
      <c r="Y48" s="194" t="n"/>
      <c r="Z48" s="194" t="n"/>
      <c r="AA48" s="194" t="n"/>
      <c r="AB48" s="194" t="n"/>
      <c r="AC48" s="194" t="n"/>
      <c r="AD48" s="194" t="n"/>
      <c r="AE48" s="194" t="n"/>
      <c r="AF48" s="194" t="n"/>
      <c r="AG48" s="194" t="n"/>
      <c r="AH48" s="194" t="n"/>
      <c r="AI48" s="194" t="n"/>
      <c r="AJ48" s="194" t="n"/>
    </row>
    <row r="49" ht="12" customHeight="1" s="1">
      <c r="A49" s="194" t="n"/>
      <c r="B49" s="194" t="n"/>
      <c r="C49" s="194" t="n"/>
      <c r="D49" s="194" t="n"/>
      <c r="E49" s="194" t="n"/>
      <c r="F49" s="194" t="n"/>
      <c r="G49" s="194" t="n"/>
      <c r="H49" s="109" t="n"/>
      <c r="I49" s="110" t="n"/>
      <c r="J49" s="110" t="n"/>
      <c r="K49" s="110" t="n"/>
      <c r="L49" s="110" t="n"/>
      <c r="M49" s="110" t="n"/>
      <c r="N49" s="110" t="n"/>
      <c r="O49" s="110" t="n"/>
      <c r="P49" s="110" t="n"/>
      <c r="Q49" s="110" t="n"/>
      <c r="R49" s="110" t="n"/>
      <c r="S49" s="110" t="n"/>
      <c r="T49" s="111" t="n"/>
      <c r="U49" s="194" t="n"/>
      <c r="V49" s="194" t="n"/>
      <c r="W49" s="194" t="n"/>
      <c r="X49" s="194" t="n"/>
      <c r="Y49" s="194" t="n"/>
      <c r="Z49" s="194" t="n"/>
      <c r="AA49" s="194" t="n"/>
      <c r="AB49" s="194" t="n"/>
      <c r="AC49" s="194" t="n"/>
      <c r="AD49" s="194" t="n"/>
      <c r="AE49" s="194" t="n"/>
      <c r="AF49" s="194" t="n"/>
      <c r="AG49" s="194" t="n"/>
      <c r="AH49" s="194" t="n"/>
      <c r="AI49" s="194" t="n"/>
      <c r="AJ49" s="194" t="n"/>
    </row>
    <row r="50" ht="12" customHeight="1" s="1">
      <c r="A50" s="194" t="n"/>
      <c r="B50" s="194" t="n"/>
      <c r="C50" s="194" t="n"/>
      <c r="D50" s="194" t="n"/>
      <c r="E50" s="194" t="n"/>
      <c r="F50" s="194" t="n"/>
      <c r="G50" s="194" t="n"/>
      <c r="H50" s="109" t="n"/>
      <c r="I50" s="110" t="n"/>
      <c r="J50" s="110" t="n"/>
      <c r="K50" s="110" t="n"/>
      <c r="L50" s="110" t="n"/>
      <c r="M50" s="110" t="n"/>
      <c r="N50" s="110" t="n"/>
      <c r="O50" s="110" t="n"/>
      <c r="P50" s="110" t="n"/>
      <c r="Q50" s="110" t="n"/>
      <c r="R50" s="110" t="n"/>
      <c r="S50" s="110" t="n"/>
      <c r="T50" s="111" t="n"/>
      <c r="U50" s="194" t="n"/>
      <c r="V50" s="194" t="n"/>
      <c r="W50" s="194" t="n"/>
      <c r="X50" s="194" t="n"/>
      <c r="Y50" s="194" t="n"/>
      <c r="Z50" s="194" t="n"/>
      <c r="AA50" s="194" t="n"/>
      <c r="AB50" s="194" t="n"/>
      <c r="AC50" s="194" t="n"/>
      <c r="AD50" s="194" t="n"/>
      <c r="AE50" s="194" t="n"/>
      <c r="AF50" s="194" t="n"/>
      <c r="AG50" s="194" t="n"/>
      <c r="AH50" s="194" t="n"/>
      <c r="AI50" s="194" t="n"/>
      <c r="AJ50" s="194" t="n"/>
    </row>
    <row r="51" ht="12" customHeight="1" s="1">
      <c r="A51" s="194" t="n"/>
      <c r="B51" s="194" t="n"/>
      <c r="C51" s="194" t="n"/>
      <c r="D51" s="194" t="n"/>
      <c r="E51" s="194" t="n"/>
      <c r="F51" s="194" t="n"/>
      <c r="G51" s="194" t="n"/>
      <c r="H51" s="109" t="n"/>
      <c r="I51" s="110" t="n"/>
      <c r="J51" s="110" t="n"/>
      <c r="K51" s="110" t="n"/>
      <c r="L51" s="110" t="n"/>
      <c r="M51" s="110" t="n"/>
      <c r="N51" s="110" t="n"/>
      <c r="O51" s="110" t="n"/>
      <c r="P51" s="110" t="n"/>
      <c r="Q51" s="110" t="n"/>
      <c r="R51" s="110" t="n"/>
      <c r="S51" s="110" t="n"/>
      <c r="T51" s="111" t="n"/>
      <c r="U51" s="194" t="n"/>
      <c r="V51" s="194" t="n"/>
      <c r="W51" s="194" t="n"/>
      <c r="X51" s="194" t="n"/>
      <c r="Y51" s="194" t="n"/>
      <c r="Z51" s="194" t="n"/>
      <c r="AA51" s="194" t="n"/>
      <c r="AB51" s="194" t="n"/>
      <c r="AC51" s="194" t="n"/>
      <c r="AD51" s="194" t="n"/>
      <c r="AE51" s="194" t="n"/>
      <c r="AF51" s="194" t="n"/>
      <c r="AG51" s="194" t="n"/>
      <c r="AH51" s="194" t="n"/>
      <c r="AI51" s="194" t="n"/>
      <c r="AJ51" s="194" t="n"/>
    </row>
    <row r="52" ht="12" customHeight="1" s="1">
      <c r="A52" s="194" t="n"/>
      <c r="B52" s="194" t="n"/>
      <c r="C52" s="194" t="n"/>
      <c r="D52" s="194" t="n"/>
      <c r="E52" s="194" t="n"/>
      <c r="F52" s="194" t="n"/>
      <c r="G52" s="194" t="n"/>
      <c r="H52" s="109" t="n"/>
      <c r="I52" s="110" t="n"/>
      <c r="J52" s="110" t="n"/>
      <c r="K52" s="110" t="n"/>
      <c r="L52" s="110" t="n"/>
      <c r="M52" s="110" t="n"/>
      <c r="N52" s="110" t="n"/>
      <c r="O52" s="110" t="n"/>
      <c r="P52" s="110" t="n"/>
      <c r="Q52" s="110" t="n"/>
      <c r="R52" s="110" t="n"/>
      <c r="S52" s="110" t="n"/>
      <c r="T52" s="111" t="n"/>
      <c r="U52" s="194" t="n"/>
      <c r="V52" s="194" t="n"/>
      <c r="W52" s="194" t="n"/>
      <c r="X52" s="194" t="n"/>
      <c r="Y52" s="194" t="n"/>
      <c r="Z52" s="194" t="n"/>
      <c r="AA52" s="194" t="n"/>
      <c r="AB52" s="194" t="n"/>
      <c r="AC52" s="194" t="n"/>
      <c r="AD52" s="194" t="n"/>
      <c r="AE52" s="194" t="n"/>
      <c r="AF52" s="194" t="n"/>
      <c r="AG52" s="194" t="n"/>
      <c r="AH52" s="194" t="n"/>
      <c r="AI52" s="194" t="n"/>
      <c r="AJ52" s="194" t="n"/>
    </row>
    <row r="53" ht="12" customHeight="1" s="1">
      <c r="A53" s="194" t="n"/>
      <c r="B53" s="194" t="n"/>
      <c r="C53" s="194" t="n"/>
      <c r="D53" s="194" t="n"/>
      <c r="E53" s="194" t="n"/>
      <c r="F53" s="194" t="n"/>
      <c r="G53" s="194" t="n"/>
      <c r="H53" s="109" t="n"/>
      <c r="I53" s="110" t="n"/>
      <c r="J53" s="110" t="n"/>
      <c r="K53" s="110" t="n"/>
      <c r="L53" s="110" t="n"/>
      <c r="M53" s="110" t="n"/>
      <c r="N53" s="110" t="n"/>
      <c r="O53" s="110" t="n"/>
      <c r="P53" s="110" t="n"/>
      <c r="Q53" s="110" t="n"/>
      <c r="R53" s="110" t="n"/>
      <c r="S53" s="110" t="n"/>
      <c r="T53" s="111" t="n"/>
      <c r="U53" s="194" t="n"/>
      <c r="V53" s="194" t="n"/>
      <c r="W53" s="194" t="n"/>
      <c r="X53" s="194" t="n"/>
      <c r="Y53" s="194" t="n"/>
      <c r="Z53" s="194" t="n"/>
      <c r="AA53" s="194" t="n"/>
      <c r="AB53" s="194" t="n"/>
      <c r="AC53" s="194" t="n"/>
      <c r="AD53" s="194" t="n"/>
      <c r="AE53" s="194" t="n"/>
      <c r="AF53" s="194" t="n"/>
      <c r="AG53" s="194" t="n"/>
      <c r="AH53" s="194" t="n"/>
      <c r="AI53" s="194" t="n"/>
      <c r="AJ53" s="194" t="n"/>
    </row>
    <row r="54" ht="12" customHeight="1" s="1">
      <c r="A54" s="194" t="n"/>
      <c r="B54" s="194" t="n"/>
      <c r="C54" s="194" t="n"/>
      <c r="D54" s="194" t="n"/>
      <c r="E54" s="194" t="n"/>
      <c r="F54" s="194" t="n"/>
      <c r="G54" s="194" t="n"/>
      <c r="H54" s="109" t="n"/>
      <c r="I54" s="110" t="n"/>
      <c r="J54" s="110" t="n"/>
      <c r="K54" s="110" t="n"/>
      <c r="L54" s="110" t="n"/>
      <c r="M54" s="110" t="n"/>
      <c r="N54" s="110" t="n"/>
      <c r="O54" s="110" t="n"/>
      <c r="P54" s="110" t="n"/>
      <c r="Q54" s="110" t="n"/>
      <c r="R54" s="110" t="n"/>
      <c r="S54" s="110" t="n"/>
      <c r="T54" s="111" t="n"/>
      <c r="U54" s="194" t="n"/>
      <c r="V54" s="194" t="n"/>
      <c r="W54" s="194" t="n"/>
      <c r="X54" s="194" t="n"/>
      <c r="Y54" s="194" t="n"/>
      <c r="Z54" s="194" t="n"/>
      <c r="AA54" s="194" t="n"/>
      <c r="AB54" s="194" t="n"/>
      <c r="AC54" s="194" t="n"/>
      <c r="AD54" s="194" t="n"/>
      <c r="AE54" s="194" t="n"/>
      <c r="AF54" s="194" t="n"/>
      <c r="AG54" s="194" t="n"/>
      <c r="AH54" s="194" t="n"/>
      <c r="AI54" s="194" t="n"/>
      <c r="AJ54" s="194" t="n"/>
    </row>
    <row r="55" ht="12" customHeight="1" s="1">
      <c r="A55" s="194" t="n"/>
      <c r="B55" s="194" t="n"/>
      <c r="C55" s="194" t="n"/>
      <c r="D55" s="194" t="n"/>
      <c r="E55" s="194" t="n"/>
      <c r="F55" s="194" t="n"/>
      <c r="G55" s="194" t="n"/>
      <c r="H55" s="109" t="n"/>
      <c r="I55" s="110" t="n"/>
      <c r="J55" s="110" t="n"/>
      <c r="K55" s="110" t="n"/>
      <c r="L55" s="110" t="n"/>
      <c r="M55" s="110" t="n"/>
      <c r="N55" s="110" t="n"/>
      <c r="O55" s="110" t="n"/>
      <c r="P55" s="110" t="n"/>
      <c r="Q55" s="110" t="n"/>
      <c r="R55" s="110" t="n"/>
      <c r="S55" s="110" t="n"/>
      <c r="T55" s="111" t="n"/>
      <c r="U55" s="194" t="n"/>
      <c r="V55" s="194" t="n"/>
      <c r="W55" s="194" t="n"/>
      <c r="X55" s="194" t="n"/>
      <c r="Y55" s="194" t="n"/>
      <c r="Z55" s="194" t="n"/>
      <c r="AA55" s="194" t="n"/>
      <c r="AB55" s="194" t="n"/>
      <c r="AC55" s="194" t="n"/>
      <c r="AD55" s="194" t="n"/>
      <c r="AE55" s="194" t="n"/>
      <c r="AF55" s="194" t="n"/>
      <c r="AG55" s="194" t="n"/>
      <c r="AH55" s="194" t="n"/>
      <c r="AI55" s="194" t="n"/>
      <c r="AJ55" s="194" t="n"/>
    </row>
    <row r="56" ht="12" customHeight="1" s="1">
      <c r="A56" s="194" t="n"/>
      <c r="B56" s="194" t="n"/>
      <c r="C56" s="194" t="n"/>
      <c r="D56" s="194" t="n"/>
      <c r="E56" s="194" t="n"/>
      <c r="F56" s="194" t="n"/>
      <c r="G56" s="194" t="n"/>
      <c r="H56" s="109" t="n"/>
      <c r="I56" s="110" t="n"/>
      <c r="J56" s="110" t="n"/>
      <c r="K56" s="110" t="n"/>
      <c r="L56" s="110" t="n"/>
      <c r="M56" s="110" t="n"/>
      <c r="N56" s="110" t="n"/>
      <c r="O56" s="110" t="n"/>
      <c r="P56" s="110" t="n"/>
      <c r="Q56" s="110" t="n"/>
      <c r="R56" s="110" t="n"/>
      <c r="S56" s="110" t="n"/>
      <c r="T56" s="111" t="n"/>
      <c r="U56" s="194" t="n"/>
      <c r="V56" s="194" t="n"/>
      <c r="W56" s="194" t="n"/>
      <c r="X56" s="194" t="n"/>
      <c r="Y56" s="194" t="n"/>
      <c r="Z56" s="194" t="n"/>
      <c r="AA56" s="194" t="n"/>
      <c r="AB56" s="194" t="n"/>
      <c r="AC56" s="194" t="n"/>
      <c r="AD56" s="194" t="n"/>
      <c r="AE56" s="194" t="n"/>
      <c r="AF56" s="194" t="n"/>
      <c r="AG56" s="194" t="n"/>
      <c r="AH56" s="194" t="n"/>
      <c r="AI56" s="194" t="n"/>
      <c r="AJ56" s="194" t="n"/>
    </row>
    <row r="57" ht="12" customHeight="1" s="1">
      <c r="A57" s="194" t="n"/>
      <c r="B57" s="194" t="n"/>
      <c r="C57" s="194" t="n"/>
      <c r="D57" s="194" t="n"/>
      <c r="E57" s="194" t="n"/>
      <c r="F57" s="194" t="n"/>
      <c r="G57" s="194" t="n"/>
      <c r="H57" s="109" t="n"/>
      <c r="I57" s="110" t="n"/>
      <c r="J57" s="110" t="n"/>
      <c r="K57" s="110" t="n"/>
      <c r="L57" s="110" t="n"/>
      <c r="M57" s="110" t="n"/>
      <c r="N57" s="110" t="n"/>
      <c r="O57" s="110" t="n"/>
      <c r="P57" s="110" t="n"/>
      <c r="Q57" s="110" t="n"/>
      <c r="R57" s="110" t="n"/>
      <c r="S57" s="110" t="n"/>
      <c r="T57" s="111" t="n"/>
      <c r="U57" s="194" t="n"/>
      <c r="V57" s="194" t="n"/>
      <c r="W57" s="194" t="n"/>
      <c r="X57" s="194" t="n"/>
      <c r="Y57" s="194" t="n"/>
      <c r="Z57" s="194" t="n"/>
      <c r="AA57" s="194" t="n"/>
      <c r="AB57" s="194" t="n"/>
      <c r="AC57" s="194" t="n"/>
      <c r="AD57" s="194" t="n"/>
      <c r="AE57" s="194" t="n"/>
      <c r="AF57" s="194" t="n"/>
      <c r="AG57" s="194" t="n"/>
      <c r="AH57" s="194" t="n"/>
      <c r="AI57" s="194" t="n"/>
      <c r="AJ57" s="194" t="n"/>
    </row>
    <row r="58" ht="12" customHeight="1" s="1">
      <c r="A58" s="194" t="n"/>
      <c r="B58" s="194" t="n"/>
      <c r="C58" s="194" t="n"/>
      <c r="D58" s="194" t="n"/>
      <c r="E58" s="194" t="n"/>
      <c r="F58" s="194" t="n"/>
      <c r="G58" s="194" t="n"/>
      <c r="H58" s="109" t="n"/>
      <c r="I58" s="110" t="n"/>
      <c r="J58" s="110" t="n"/>
      <c r="K58" s="110" t="n"/>
      <c r="L58" s="110" t="n"/>
      <c r="M58" s="110" t="n"/>
      <c r="N58" s="110" t="n"/>
      <c r="O58" s="110" t="n"/>
      <c r="P58" s="110" t="n"/>
      <c r="Q58" s="110" t="n"/>
      <c r="R58" s="110" t="n"/>
      <c r="S58" s="110" t="n"/>
      <c r="T58" s="111" t="n"/>
      <c r="U58" s="194" t="n"/>
      <c r="V58" s="194" t="n"/>
      <c r="W58" s="194" t="n"/>
      <c r="X58" s="194" t="n"/>
      <c r="Y58" s="194" t="n"/>
      <c r="Z58" s="194" t="n"/>
      <c r="AA58" s="194" t="n"/>
      <c r="AB58" s="194" t="n"/>
      <c r="AC58" s="194" t="n"/>
      <c r="AD58" s="194" t="n"/>
      <c r="AE58" s="194" t="n"/>
      <c r="AF58" s="194" t="n"/>
      <c r="AG58" s="194" t="n"/>
      <c r="AH58" s="194" t="n"/>
      <c r="AI58" s="194" t="n"/>
      <c r="AJ58" s="194" t="n"/>
    </row>
    <row r="59" ht="12" customHeight="1" s="1">
      <c r="A59" s="194" t="n"/>
      <c r="B59" s="194" t="n"/>
      <c r="C59" s="194" t="n"/>
      <c r="D59" s="194" t="n"/>
      <c r="E59" s="194" t="n"/>
      <c r="F59" s="194" t="n"/>
      <c r="G59" s="194" t="n"/>
      <c r="H59" s="109" t="n"/>
      <c r="I59" s="110" t="n"/>
      <c r="J59" s="110" t="n"/>
      <c r="K59" s="110" t="n"/>
      <c r="L59" s="110" t="n"/>
      <c r="M59" s="110" t="n"/>
      <c r="N59" s="110" t="n"/>
      <c r="O59" s="110" t="n"/>
      <c r="P59" s="110" t="n"/>
      <c r="Q59" s="110" t="n"/>
      <c r="R59" s="110" t="n"/>
      <c r="S59" s="110" t="n"/>
      <c r="T59" s="111" t="n"/>
      <c r="U59" s="194" t="n"/>
      <c r="V59" s="194" t="n"/>
      <c r="W59" s="194" t="n"/>
      <c r="X59" s="194" t="n"/>
      <c r="Y59" s="194" t="n"/>
      <c r="Z59" s="194" t="n"/>
      <c r="AA59" s="194" t="n"/>
      <c r="AB59" s="194" t="n"/>
      <c r="AC59" s="194" t="n"/>
      <c r="AD59" s="194" t="n"/>
      <c r="AE59" s="194" t="n"/>
      <c r="AF59" s="194" t="n"/>
      <c r="AG59" s="194" t="n"/>
      <c r="AH59" s="194" t="n"/>
      <c r="AI59" s="194" t="n"/>
      <c r="AJ59" s="194" t="n"/>
    </row>
    <row r="60" ht="12" customHeight="1" s="1">
      <c r="A60" s="194" t="n"/>
      <c r="B60" s="194" t="n"/>
      <c r="C60" s="194" t="n"/>
      <c r="D60" s="194" t="n"/>
      <c r="E60" s="194" t="n"/>
      <c r="F60" s="194" t="n"/>
      <c r="G60" s="194" t="n"/>
      <c r="H60" s="109" t="n"/>
      <c r="I60" s="110" t="n"/>
      <c r="J60" s="110" t="n"/>
      <c r="K60" s="110" t="n"/>
      <c r="L60" s="110" t="n"/>
      <c r="M60" s="110" t="n"/>
      <c r="N60" s="110" t="n"/>
      <c r="O60" s="110" t="n"/>
      <c r="P60" s="110" t="n"/>
      <c r="Q60" s="110" t="n"/>
      <c r="R60" s="110" t="n"/>
      <c r="S60" s="110" t="n"/>
      <c r="T60" s="111" t="n"/>
      <c r="U60" s="194" t="n"/>
      <c r="V60" s="194" t="n"/>
      <c r="W60" s="194" t="n"/>
      <c r="X60" s="194" t="n"/>
      <c r="Y60" s="194" t="n"/>
      <c r="Z60" s="194" t="n"/>
      <c r="AA60" s="194" t="n"/>
      <c r="AB60" s="194" t="n"/>
      <c r="AC60" s="194" t="n"/>
      <c r="AD60" s="194" t="n"/>
      <c r="AE60" s="194" t="n"/>
      <c r="AF60" s="194" t="n"/>
      <c r="AG60" s="194" t="n"/>
      <c r="AH60" s="194" t="n"/>
      <c r="AI60" s="194" t="n"/>
      <c r="AJ60" s="194" t="n"/>
    </row>
    <row r="61" ht="12" customHeight="1" s="1">
      <c r="A61" s="194" t="n"/>
      <c r="B61" s="194" t="n"/>
      <c r="C61" s="194" t="n"/>
      <c r="D61" s="194" t="n"/>
      <c r="E61" s="194" t="n"/>
      <c r="F61" s="194" t="n"/>
      <c r="G61" s="194" t="n"/>
      <c r="H61" s="109" t="n"/>
      <c r="I61" s="110" t="n"/>
      <c r="J61" s="110" t="n"/>
      <c r="K61" s="110" t="n"/>
      <c r="L61" s="110" t="n"/>
      <c r="M61" s="110" t="n"/>
      <c r="N61" s="110" t="n"/>
      <c r="O61" s="110" t="n"/>
      <c r="P61" s="110" t="n"/>
      <c r="Q61" s="110" t="n"/>
      <c r="R61" s="110" t="n"/>
      <c r="S61" s="110" t="n"/>
      <c r="T61" s="111" t="n"/>
      <c r="U61" s="194" t="n"/>
      <c r="V61" s="194" t="n"/>
      <c r="W61" s="194" t="n"/>
      <c r="X61" s="194" t="n"/>
      <c r="Y61" s="194" t="n"/>
      <c r="Z61" s="194" t="n"/>
      <c r="AA61" s="194" t="n"/>
      <c r="AB61" s="194" t="n"/>
      <c r="AC61" s="194" t="n"/>
      <c r="AD61" s="194" t="n"/>
      <c r="AE61" s="194" t="n"/>
      <c r="AF61" s="194" t="n"/>
      <c r="AG61" s="194" t="n"/>
      <c r="AH61" s="194" t="n"/>
      <c r="AI61" s="194" t="n"/>
      <c r="AJ61" s="194" t="n"/>
    </row>
    <row r="62" ht="12" customHeight="1" s="1">
      <c r="A62" s="194" t="n"/>
      <c r="B62" s="194" t="n"/>
      <c r="C62" s="194" t="n"/>
      <c r="D62" s="194" t="n"/>
      <c r="E62" s="194" t="n"/>
      <c r="F62" s="194" t="n"/>
      <c r="G62" s="194" t="n"/>
      <c r="H62" s="109" t="n"/>
      <c r="I62" s="110" t="n"/>
      <c r="J62" s="110" t="n"/>
      <c r="K62" s="110" t="n"/>
      <c r="L62" s="110" t="n"/>
      <c r="M62" s="110" t="n"/>
      <c r="N62" s="110" t="n"/>
      <c r="O62" s="110" t="n"/>
      <c r="P62" s="110" t="n"/>
      <c r="Q62" s="110" t="n"/>
      <c r="R62" s="110" t="n"/>
      <c r="S62" s="110" t="n"/>
      <c r="T62" s="111" t="n"/>
      <c r="U62" s="194" t="n"/>
      <c r="V62" s="194" t="n"/>
      <c r="W62" s="194" t="n"/>
      <c r="X62" s="194" t="n"/>
      <c r="Y62" s="194" t="n"/>
      <c r="Z62" s="194" t="n"/>
      <c r="AA62" s="194" t="n"/>
      <c r="AB62" s="194" t="n"/>
      <c r="AC62" s="194" t="n"/>
      <c r="AD62" s="194" t="n"/>
      <c r="AE62" s="194" t="n"/>
      <c r="AF62" s="194" t="n"/>
      <c r="AG62" s="194" t="n"/>
      <c r="AH62" s="194" t="n"/>
      <c r="AI62" s="194" t="n"/>
      <c r="AJ62" s="194" t="n"/>
    </row>
    <row r="63" ht="12" customHeight="1" s="1">
      <c r="A63" s="194" t="n"/>
      <c r="B63" s="194" t="n"/>
      <c r="C63" s="194" t="n"/>
      <c r="D63" s="194" t="n"/>
      <c r="E63" s="194" t="n"/>
      <c r="F63" s="194" t="n"/>
      <c r="G63" s="194" t="n"/>
      <c r="H63" s="109" t="n"/>
      <c r="I63" s="110" t="n"/>
      <c r="J63" s="110" t="n"/>
      <c r="K63" s="110" t="n"/>
      <c r="L63" s="110" t="n"/>
      <c r="M63" s="110" t="n"/>
      <c r="N63" s="110" t="n"/>
      <c r="O63" s="110" t="n"/>
      <c r="P63" s="110" t="n"/>
      <c r="Q63" s="110" t="n"/>
      <c r="R63" s="110" t="n"/>
      <c r="S63" s="110" t="n"/>
      <c r="T63" s="111" t="n"/>
      <c r="U63" s="194" t="n"/>
      <c r="V63" s="194" t="n"/>
      <c r="W63" s="194" t="n"/>
      <c r="X63" s="194" t="n"/>
      <c r="Y63" s="194" t="n"/>
      <c r="Z63" s="194" t="n"/>
      <c r="AA63" s="194" t="n"/>
      <c r="AB63" s="194" t="n"/>
      <c r="AC63" s="194" t="n"/>
      <c r="AD63" s="194" t="n"/>
      <c r="AE63" s="194" t="n"/>
      <c r="AF63" s="194" t="n"/>
      <c r="AG63" s="194" t="n"/>
      <c r="AH63" s="194" t="n"/>
      <c r="AI63" s="194" t="n"/>
      <c r="AJ63" s="194" t="n"/>
    </row>
    <row r="64" ht="12" customHeight="1" s="1">
      <c r="A64" s="194" t="n"/>
      <c r="B64" s="194" t="n"/>
      <c r="C64" s="194" t="n"/>
      <c r="D64" s="194" t="n"/>
      <c r="E64" s="194" t="n"/>
      <c r="F64" s="194" t="n"/>
      <c r="G64" s="194" t="n"/>
      <c r="H64" s="109" t="n"/>
      <c r="I64" s="110" t="n"/>
      <c r="J64" s="110" t="n"/>
      <c r="K64" s="110" t="n"/>
      <c r="L64" s="110" t="n"/>
      <c r="M64" s="110" t="n"/>
      <c r="N64" s="110" t="n"/>
      <c r="O64" s="110" t="n"/>
      <c r="P64" s="110" t="n"/>
      <c r="Q64" s="110" t="n"/>
      <c r="R64" s="110" t="n"/>
      <c r="S64" s="110" t="n"/>
      <c r="T64" s="111" t="n"/>
      <c r="U64" s="194" t="n"/>
      <c r="V64" s="194" t="n"/>
      <c r="W64" s="194" t="n"/>
      <c r="X64" s="194" t="n"/>
      <c r="Y64" s="194" t="n"/>
      <c r="Z64" s="194" t="n"/>
      <c r="AA64" s="194" t="n"/>
      <c r="AB64" s="194" t="n"/>
      <c r="AC64" s="194" t="n"/>
      <c r="AD64" s="194" t="n"/>
      <c r="AE64" s="194" t="n"/>
      <c r="AF64" s="194" t="n"/>
      <c r="AG64" s="194" t="n"/>
      <c r="AH64" s="194" t="n"/>
      <c r="AI64" s="194" t="n"/>
      <c r="AJ64" s="194" t="n"/>
    </row>
    <row r="65" ht="12" customHeight="1" s="1">
      <c r="A65" s="194" t="n"/>
      <c r="B65" s="194" t="n"/>
      <c r="C65" s="194" t="n"/>
      <c r="D65" s="194" t="n"/>
      <c r="E65" s="194" t="n"/>
      <c r="F65" s="194" t="n"/>
      <c r="G65" s="194" t="n"/>
      <c r="H65" s="109" t="n"/>
      <c r="I65" s="110" t="n"/>
      <c r="J65" s="110" t="n"/>
      <c r="K65" s="110" t="n"/>
      <c r="L65" s="110" t="n"/>
      <c r="M65" s="110" t="n"/>
      <c r="N65" s="110" t="n"/>
      <c r="O65" s="110" t="n"/>
      <c r="P65" s="110" t="n"/>
      <c r="Q65" s="110" t="n"/>
      <c r="R65" s="110" t="n"/>
      <c r="S65" s="110" t="n"/>
      <c r="T65" s="111" t="n"/>
      <c r="U65" s="194" t="n"/>
      <c r="V65" s="194" t="n"/>
      <c r="W65" s="194" t="n"/>
      <c r="X65" s="194" t="n"/>
      <c r="Y65" s="194" t="n"/>
      <c r="Z65" s="194" t="n"/>
      <c r="AA65" s="194" t="n"/>
      <c r="AB65" s="194" t="n"/>
      <c r="AC65" s="194" t="n"/>
      <c r="AD65" s="194" t="n"/>
      <c r="AE65" s="194" t="n"/>
      <c r="AF65" s="194" t="n"/>
      <c r="AG65" s="194" t="n"/>
      <c r="AH65" s="194" t="n"/>
      <c r="AI65" s="194" t="n"/>
      <c r="AJ65" s="194" t="n"/>
    </row>
    <row r="66" ht="12" customHeight="1" s="1">
      <c r="A66" s="194" t="n"/>
      <c r="B66" s="194" t="n"/>
      <c r="C66" s="194" t="n"/>
      <c r="D66" s="194" t="n"/>
      <c r="E66" s="194" t="n"/>
      <c r="F66" s="194" t="n"/>
      <c r="G66" s="194" t="n"/>
      <c r="H66" s="109" t="n"/>
      <c r="I66" s="110" t="n"/>
      <c r="J66" s="110" t="n"/>
      <c r="K66" s="110" t="n"/>
      <c r="L66" s="110" t="n"/>
      <c r="M66" s="110" t="n"/>
      <c r="N66" s="110" t="n"/>
      <c r="O66" s="110" t="n"/>
      <c r="P66" s="110" t="n"/>
      <c r="Q66" s="110" t="n"/>
      <c r="R66" s="110" t="n"/>
      <c r="S66" s="110" t="n"/>
      <c r="T66" s="111" t="n"/>
      <c r="U66" s="194" t="n"/>
      <c r="V66" s="194" t="n"/>
      <c r="W66" s="194" t="n"/>
      <c r="X66" s="194" t="n"/>
      <c r="Y66" s="194" t="n"/>
      <c r="Z66" s="194" t="n"/>
      <c r="AA66" s="194" t="n"/>
      <c r="AB66" s="194" t="n"/>
      <c r="AC66" s="194" t="n"/>
      <c r="AD66" s="194" t="n"/>
      <c r="AE66" s="194" t="n"/>
      <c r="AF66" s="194" t="n"/>
      <c r="AG66" s="194" t="n"/>
      <c r="AH66" s="194" t="n"/>
      <c r="AI66" s="194" t="n"/>
      <c r="AJ66" s="194" t="n"/>
    </row>
    <row r="67" ht="12" customHeight="1" s="1">
      <c r="A67" s="194" t="n"/>
      <c r="B67" s="194" t="n"/>
      <c r="C67" s="194" t="n"/>
      <c r="D67" s="194" t="n"/>
      <c r="E67" s="194" t="n"/>
      <c r="F67" s="194" t="n"/>
      <c r="G67" s="194" t="n"/>
      <c r="H67" s="109" t="n"/>
      <c r="I67" s="110" t="n"/>
      <c r="J67" s="110" t="n"/>
      <c r="K67" s="110" t="n"/>
      <c r="L67" s="110" t="n"/>
      <c r="M67" s="110" t="n"/>
      <c r="N67" s="110" t="n"/>
      <c r="O67" s="110" t="n"/>
      <c r="P67" s="110" t="n"/>
      <c r="Q67" s="110" t="n"/>
      <c r="R67" s="110" t="n"/>
      <c r="S67" s="110" t="n"/>
      <c r="T67" s="111" t="n"/>
      <c r="U67" s="194" t="n"/>
      <c r="V67" s="194" t="n"/>
      <c r="W67" s="194" t="n"/>
      <c r="X67" s="194" t="n"/>
      <c r="Y67" s="194" t="n"/>
      <c r="Z67" s="194" t="n"/>
      <c r="AA67" s="194" t="n"/>
      <c r="AB67" s="194" t="n"/>
      <c r="AC67" s="194" t="n"/>
      <c r="AD67" s="194" t="n"/>
      <c r="AE67" s="194" t="n"/>
      <c r="AF67" s="194" t="n"/>
      <c r="AG67" s="194" t="n"/>
      <c r="AH67" s="194" t="n"/>
      <c r="AI67" s="194" t="n"/>
      <c r="AJ67" s="194" t="n"/>
    </row>
    <row r="68" ht="12" customHeight="1" s="1">
      <c r="A68" s="194" t="n"/>
      <c r="B68" s="194" t="n"/>
      <c r="C68" s="194" t="n"/>
      <c r="D68" s="194" t="n"/>
      <c r="E68" s="194" t="n"/>
      <c r="F68" s="194" t="n"/>
      <c r="G68" s="194" t="n"/>
      <c r="H68" s="109" t="n"/>
      <c r="I68" s="110" t="n"/>
      <c r="J68" s="110" t="n"/>
      <c r="K68" s="110" t="n"/>
      <c r="L68" s="110" t="n"/>
      <c r="M68" s="110" t="n"/>
      <c r="N68" s="110" t="n"/>
      <c r="O68" s="110" t="n"/>
      <c r="P68" s="110" t="n"/>
      <c r="Q68" s="110" t="n"/>
      <c r="R68" s="110" t="n"/>
      <c r="S68" s="110" t="n"/>
      <c r="T68" s="111" t="n"/>
      <c r="U68" s="194" t="n"/>
      <c r="V68" s="194" t="n"/>
      <c r="W68" s="194" t="n"/>
      <c r="X68" s="194" t="n"/>
      <c r="Y68" s="194" t="n"/>
      <c r="Z68" s="194" t="n"/>
      <c r="AA68" s="194" t="n"/>
      <c r="AB68" s="194" t="n"/>
      <c r="AC68" s="194" t="n"/>
      <c r="AD68" s="194" t="n"/>
      <c r="AE68" s="194" t="n"/>
      <c r="AF68" s="194" t="n"/>
      <c r="AG68" s="194" t="n"/>
      <c r="AH68" s="194" t="n"/>
      <c r="AI68" s="194" t="n"/>
      <c r="AJ68" s="194" t="n"/>
    </row>
    <row r="69" ht="12" customHeight="1" s="1">
      <c r="A69" s="194" t="n"/>
      <c r="B69" s="194" t="n"/>
      <c r="C69" s="194" t="n"/>
      <c r="D69" s="194" t="n"/>
      <c r="E69" s="194" t="n"/>
      <c r="F69" s="194" t="n"/>
      <c r="G69" s="194" t="n"/>
      <c r="H69" s="109" t="n"/>
      <c r="I69" s="110" t="n"/>
      <c r="J69" s="110" t="n"/>
      <c r="K69" s="110" t="n"/>
      <c r="L69" s="110" t="n"/>
      <c r="M69" s="110" t="n"/>
      <c r="N69" s="110" t="n"/>
      <c r="O69" s="110" t="n"/>
      <c r="P69" s="110" t="n"/>
      <c r="Q69" s="110" t="n"/>
      <c r="R69" s="110" t="n"/>
      <c r="S69" s="110" t="n"/>
      <c r="T69" s="111" t="n"/>
      <c r="U69" s="194" t="n"/>
      <c r="V69" s="194" t="n"/>
      <c r="W69" s="194" t="n"/>
      <c r="X69" s="194" t="n"/>
      <c r="Y69" s="194" t="n"/>
      <c r="Z69" s="194" t="n"/>
      <c r="AA69" s="194" t="n"/>
      <c r="AB69" s="194" t="n"/>
      <c r="AC69" s="194" t="n"/>
      <c r="AD69" s="194" t="n"/>
      <c r="AE69" s="194" t="n"/>
      <c r="AF69" s="194" t="n"/>
      <c r="AG69" s="194" t="n"/>
      <c r="AH69" s="194" t="n"/>
      <c r="AI69" s="194" t="n"/>
      <c r="AJ69" s="194" t="n"/>
    </row>
    <row r="70" ht="12" customHeight="1" s="1">
      <c r="A70" s="194" t="n"/>
      <c r="B70" s="194" t="n"/>
      <c r="C70" s="194" t="n"/>
      <c r="D70" s="194" t="n"/>
      <c r="E70" s="194" t="n"/>
      <c r="F70" s="194" t="n"/>
      <c r="G70" s="194" t="n"/>
      <c r="H70" s="109" t="n"/>
      <c r="I70" s="110" t="n"/>
      <c r="J70" s="110" t="n"/>
      <c r="K70" s="110" t="n"/>
      <c r="L70" s="110" t="n"/>
      <c r="M70" s="110" t="n"/>
      <c r="N70" s="110" t="n"/>
      <c r="O70" s="110" t="n"/>
      <c r="P70" s="110" t="n"/>
      <c r="Q70" s="110" t="n"/>
      <c r="R70" s="110" t="n"/>
      <c r="S70" s="110" t="n"/>
      <c r="T70" s="111" t="n"/>
      <c r="U70" s="194" t="n"/>
      <c r="V70" s="194" t="n"/>
      <c r="W70" s="194" t="n"/>
      <c r="X70" s="194" t="n"/>
      <c r="Y70" s="194" t="n"/>
      <c r="Z70" s="194" t="n"/>
      <c r="AA70" s="194" t="n"/>
      <c r="AB70" s="194" t="n"/>
      <c r="AC70" s="194" t="n"/>
      <c r="AD70" s="194" t="n"/>
      <c r="AE70" s="194" t="n"/>
      <c r="AF70" s="194" t="n"/>
      <c r="AG70" s="194" t="n"/>
      <c r="AH70" s="194" t="n"/>
      <c r="AI70" s="194" t="n"/>
      <c r="AJ70" s="194" t="n"/>
    </row>
    <row r="71" ht="12" customHeight="1" s="1">
      <c r="A71" s="194" t="n"/>
      <c r="B71" s="194" t="n"/>
      <c r="C71" s="194" t="n"/>
      <c r="D71" s="194" t="n"/>
      <c r="E71" s="194" t="n"/>
      <c r="F71" s="194" t="n"/>
      <c r="G71" s="194" t="n"/>
      <c r="H71" s="109" t="n"/>
      <c r="I71" s="110" t="n"/>
      <c r="J71" s="110" t="n"/>
      <c r="K71" s="110" t="n"/>
      <c r="L71" s="110" t="n"/>
      <c r="M71" s="110" t="n"/>
      <c r="N71" s="110" t="n"/>
      <c r="O71" s="110" t="n"/>
      <c r="P71" s="110" t="n"/>
      <c r="Q71" s="110" t="n"/>
      <c r="R71" s="110" t="n"/>
      <c r="S71" s="110" t="n"/>
      <c r="T71" s="111" t="n"/>
      <c r="U71" s="194" t="n"/>
      <c r="V71" s="194" t="n"/>
      <c r="W71" s="194" t="n"/>
      <c r="X71" s="194" t="n"/>
      <c r="Y71" s="194" t="n"/>
      <c r="Z71" s="194" t="n"/>
      <c r="AA71" s="194" t="n"/>
      <c r="AB71" s="194" t="n"/>
      <c r="AC71" s="194" t="n"/>
      <c r="AD71" s="194" t="n"/>
      <c r="AE71" s="194" t="n"/>
      <c r="AF71" s="194" t="n"/>
      <c r="AG71" s="194" t="n"/>
      <c r="AH71" s="194" t="n"/>
      <c r="AI71" s="194" t="n"/>
      <c r="AJ71" s="194" t="n"/>
    </row>
    <row r="72" ht="12" customHeight="1" s="1">
      <c r="A72" s="194" t="n"/>
      <c r="B72" s="194" t="n"/>
      <c r="C72" s="194" t="n"/>
      <c r="D72" s="194" t="n"/>
      <c r="E72" s="194" t="n"/>
      <c r="F72" s="194" t="n"/>
      <c r="G72" s="194" t="n"/>
      <c r="H72" s="109" t="n"/>
      <c r="I72" s="110" t="n"/>
      <c r="J72" s="110" t="n"/>
      <c r="K72" s="110" t="n"/>
      <c r="L72" s="110" t="n"/>
      <c r="M72" s="110" t="n"/>
      <c r="N72" s="110" t="n"/>
      <c r="O72" s="110" t="n"/>
      <c r="P72" s="110" t="n"/>
      <c r="Q72" s="110" t="n"/>
      <c r="R72" s="110" t="n"/>
      <c r="S72" s="110" t="n"/>
      <c r="T72" s="111" t="n"/>
      <c r="U72" s="194" t="n"/>
      <c r="V72" s="194" t="n"/>
      <c r="W72" s="194" t="n"/>
      <c r="X72" s="194" t="n"/>
      <c r="Y72" s="194" t="n"/>
      <c r="Z72" s="194" t="n"/>
      <c r="AA72" s="194" t="n"/>
      <c r="AB72" s="194" t="n"/>
      <c r="AC72" s="194" t="n"/>
      <c r="AD72" s="194" t="n"/>
      <c r="AE72" s="194" t="n"/>
      <c r="AF72" s="194" t="n"/>
      <c r="AG72" s="194" t="n"/>
      <c r="AH72" s="194" t="n"/>
      <c r="AI72" s="194" t="n"/>
      <c r="AJ72" s="194" t="n"/>
    </row>
    <row r="73" ht="12" customHeight="1" s="1">
      <c r="A73" s="194" t="n"/>
      <c r="B73" s="194" t="n"/>
      <c r="C73" s="194" t="n"/>
      <c r="D73" s="194" t="n"/>
      <c r="E73" s="194" t="n"/>
      <c r="F73" s="194" t="n"/>
      <c r="G73" s="194" t="n"/>
      <c r="H73" s="109" t="n"/>
      <c r="I73" s="110" t="n"/>
      <c r="J73" s="110" t="n"/>
      <c r="K73" s="110" t="n"/>
      <c r="L73" s="110" t="n"/>
      <c r="M73" s="110" t="n"/>
      <c r="N73" s="110" t="n"/>
      <c r="O73" s="110" t="n"/>
      <c r="P73" s="110" t="n"/>
      <c r="Q73" s="110" t="n"/>
      <c r="R73" s="110" t="n"/>
      <c r="S73" s="110" t="n"/>
      <c r="T73" s="111" t="n"/>
      <c r="U73" s="194" t="n"/>
      <c r="V73" s="194" t="n"/>
      <c r="W73" s="194" t="n"/>
      <c r="X73" s="194" t="n"/>
      <c r="Y73" s="194" t="n"/>
      <c r="Z73" s="194" t="n"/>
      <c r="AA73" s="194" t="n"/>
      <c r="AB73" s="194" t="n"/>
      <c r="AC73" s="194" t="n"/>
      <c r="AD73" s="194" t="n"/>
      <c r="AE73" s="194" t="n"/>
      <c r="AF73" s="194" t="n"/>
      <c r="AG73" s="194" t="n"/>
      <c r="AH73" s="194" t="n"/>
      <c r="AI73" s="194" t="n"/>
      <c r="AJ73" s="194" t="n"/>
    </row>
    <row r="74" ht="12" customHeight="1" s="1">
      <c r="A74" s="194" t="n"/>
      <c r="B74" s="194" t="n"/>
      <c r="C74" s="194" t="n"/>
      <c r="D74" s="194" t="n"/>
      <c r="E74" s="194" t="n"/>
      <c r="F74" s="194" t="n"/>
      <c r="G74" s="194" t="n"/>
      <c r="H74" s="109" t="n"/>
      <c r="I74" s="110" t="n"/>
      <c r="J74" s="110" t="n"/>
      <c r="K74" s="110" t="n"/>
      <c r="L74" s="110" t="n"/>
      <c r="M74" s="110" t="n"/>
      <c r="N74" s="110" t="n"/>
      <c r="O74" s="110" t="n"/>
      <c r="P74" s="110" t="n"/>
      <c r="Q74" s="110" t="n"/>
      <c r="R74" s="110" t="n"/>
      <c r="S74" s="110" t="n"/>
      <c r="T74" s="111" t="n"/>
      <c r="U74" s="194" t="n"/>
      <c r="V74" s="194" t="n"/>
      <c r="W74" s="194" t="n"/>
      <c r="X74" s="194" t="n"/>
      <c r="Y74" s="194" t="n"/>
      <c r="Z74" s="194" t="n"/>
      <c r="AA74" s="194" t="n"/>
      <c r="AB74" s="194" t="n"/>
      <c r="AC74" s="194" t="n"/>
      <c r="AD74" s="194" t="n"/>
      <c r="AE74" s="194" t="n"/>
      <c r="AF74" s="194" t="n"/>
      <c r="AG74" s="194" t="n"/>
      <c r="AH74" s="194" t="n"/>
      <c r="AI74" s="194" t="n"/>
      <c r="AJ74" s="194" t="n"/>
    </row>
    <row r="75" ht="12" customHeight="1" s="1">
      <c r="A75" s="194" t="n"/>
      <c r="B75" s="194" t="n"/>
      <c r="C75" s="194" t="n"/>
      <c r="D75" s="194" t="n"/>
      <c r="E75" s="194" t="n"/>
      <c r="F75" s="194" t="n"/>
      <c r="G75" s="194" t="n"/>
      <c r="H75" s="109" t="n"/>
      <c r="I75" s="110" t="n"/>
      <c r="J75" s="110" t="n"/>
      <c r="K75" s="110" t="n"/>
      <c r="L75" s="110" t="n"/>
      <c r="M75" s="110" t="n"/>
      <c r="N75" s="110" t="n"/>
      <c r="O75" s="110" t="n"/>
      <c r="P75" s="110" t="n"/>
      <c r="Q75" s="110" t="n"/>
      <c r="R75" s="110" t="n"/>
      <c r="S75" s="110" t="n"/>
      <c r="T75" s="111" t="n"/>
      <c r="U75" s="194" t="n"/>
      <c r="V75" s="194" t="n"/>
      <c r="W75" s="194" t="n"/>
      <c r="X75" s="194" t="n"/>
      <c r="Y75" s="194" t="n"/>
      <c r="Z75" s="194" t="n"/>
      <c r="AA75" s="194" t="n"/>
      <c r="AB75" s="194" t="n"/>
      <c r="AC75" s="194" t="n"/>
      <c r="AD75" s="194" t="n"/>
      <c r="AE75" s="194" t="n"/>
      <c r="AF75" s="194" t="n"/>
      <c r="AG75" s="194" t="n"/>
      <c r="AH75" s="194" t="n"/>
      <c r="AI75" s="194" t="n"/>
      <c r="AJ75" s="194" t="n"/>
    </row>
    <row r="76" ht="12" customHeight="1" s="1">
      <c r="A76" s="194" t="n"/>
      <c r="B76" s="194" t="n"/>
      <c r="C76" s="194" t="n"/>
      <c r="D76" s="194" t="n"/>
      <c r="E76" s="194" t="n"/>
      <c r="F76" s="194" t="n"/>
      <c r="G76" s="194" t="n"/>
      <c r="H76" s="109" t="n"/>
      <c r="I76" s="110" t="n"/>
      <c r="J76" s="110" t="n"/>
      <c r="K76" s="110" t="n"/>
      <c r="L76" s="110" t="n"/>
      <c r="M76" s="110" t="n"/>
      <c r="N76" s="110" t="n"/>
      <c r="O76" s="110" t="n"/>
      <c r="P76" s="110" t="n"/>
      <c r="Q76" s="110" t="n"/>
      <c r="R76" s="110" t="n"/>
      <c r="S76" s="110" t="n"/>
      <c r="T76" s="111" t="n"/>
      <c r="U76" s="194" t="n"/>
      <c r="V76" s="194" t="n"/>
      <c r="W76" s="194" t="n"/>
      <c r="X76" s="194" t="n"/>
      <c r="Y76" s="194" t="n"/>
      <c r="Z76" s="194" t="n"/>
      <c r="AA76" s="194" t="n"/>
      <c r="AB76" s="194" t="n"/>
      <c r="AC76" s="194" t="n"/>
      <c r="AD76" s="194" t="n"/>
      <c r="AE76" s="194" t="n"/>
      <c r="AF76" s="194" t="n"/>
      <c r="AG76" s="194" t="n"/>
      <c r="AH76" s="194" t="n"/>
      <c r="AI76" s="194" t="n"/>
      <c r="AJ76" s="194" t="n"/>
    </row>
    <row r="77" ht="12" customHeight="1" s="1">
      <c r="A77" s="194" t="n"/>
      <c r="B77" s="194" t="n"/>
      <c r="C77" s="194" t="n"/>
      <c r="D77" s="194" t="n"/>
      <c r="E77" s="194" t="n"/>
      <c r="F77" s="194" t="n"/>
      <c r="G77" s="194" t="n"/>
      <c r="H77" s="109" t="n"/>
      <c r="I77" s="110" t="n"/>
      <c r="J77" s="110" t="n"/>
      <c r="K77" s="110" t="n"/>
      <c r="L77" s="110" t="n"/>
      <c r="M77" s="110" t="n"/>
      <c r="N77" s="110" t="n"/>
      <c r="O77" s="110" t="n"/>
      <c r="P77" s="110" t="n"/>
      <c r="Q77" s="110" t="n"/>
      <c r="R77" s="110" t="n"/>
      <c r="S77" s="110" t="n"/>
      <c r="T77" s="111" t="n"/>
      <c r="U77" s="194" t="n"/>
      <c r="V77" s="194" t="n"/>
      <c r="W77" s="194" t="n"/>
      <c r="X77" s="194" t="n"/>
      <c r="Y77" s="194" t="n"/>
      <c r="Z77" s="194" t="n"/>
      <c r="AA77" s="194" t="n"/>
      <c r="AB77" s="194" t="n"/>
      <c r="AC77" s="194" t="n"/>
      <c r="AD77" s="194" t="n"/>
      <c r="AE77" s="194" t="n"/>
      <c r="AF77" s="194" t="n"/>
      <c r="AG77" s="194" t="n"/>
      <c r="AH77" s="194" t="n"/>
      <c r="AI77" s="194" t="n"/>
      <c r="AJ77" s="194" t="n"/>
    </row>
    <row r="78" ht="12" customHeight="1" s="1">
      <c r="A78" s="194" t="n"/>
      <c r="B78" s="194" t="n"/>
      <c r="C78" s="194" t="n"/>
      <c r="D78" s="194" t="n"/>
      <c r="E78" s="194" t="n"/>
      <c r="F78" s="194" t="n"/>
      <c r="G78" s="194" t="n"/>
      <c r="H78" s="109" t="n"/>
      <c r="I78" s="110" t="n"/>
      <c r="J78" s="110" t="n"/>
      <c r="K78" s="110" t="n"/>
      <c r="L78" s="110" t="n"/>
      <c r="M78" s="110" t="n"/>
      <c r="N78" s="110" t="n"/>
      <c r="O78" s="110" t="n"/>
      <c r="P78" s="110" t="n"/>
      <c r="Q78" s="110" t="n"/>
      <c r="R78" s="110" t="n"/>
      <c r="S78" s="110" t="n"/>
      <c r="T78" s="111" t="n"/>
      <c r="U78" s="194" t="n"/>
      <c r="V78" s="194" t="n"/>
      <c r="W78" s="194" t="n"/>
      <c r="X78" s="194" t="n"/>
      <c r="Y78" s="194" t="n"/>
      <c r="Z78" s="194" t="n"/>
      <c r="AA78" s="194" t="n"/>
      <c r="AB78" s="194" t="n"/>
      <c r="AC78" s="194" t="n"/>
      <c r="AD78" s="194" t="n"/>
      <c r="AE78" s="194" t="n"/>
      <c r="AF78" s="194" t="n"/>
      <c r="AG78" s="194" t="n"/>
      <c r="AH78" s="194" t="n"/>
      <c r="AI78" s="194" t="n"/>
      <c r="AJ78" s="194" t="n"/>
    </row>
    <row r="79" ht="12" customHeight="1" s="1">
      <c r="A79" s="194" t="n"/>
      <c r="B79" s="194" t="n"/>
      <c r="C79" s="194" t="n"/>
      <c r="D79" s="194" t="n"/>
      <c r="E79" s="194" t="n"/>
      <c r="F79" s="194" t="n"/>
      <c r="G79" s="194" t="n"/>
      <c r="H79" s="109" t="n"/>
      <c r="I79" s="110" t="n"/>
      <c r="J79" s="110" t="n"/>
      <c r="K79" s="110" t="n"/>
      <c r="L79" s="110" t="n"/>
      <c r="M79" s="110" t="n"/>
      <c r="N79" s="110" t="n"/>
      <c r="O79" s="110" t="n"/>
      <c r="P79" s="110" t="n"/>
      <c r="Q79" s="110" t="n"/>
      <c r="R79" s="110" t="n"/>
      <c r="S79" s="110" t="n"/>
      <c r="T79" s="111" t="n"/>
      <c r="U79" s="194" t="n"/>
      <c r="V79" s="194" t="n"/>
      <c r="W79" s="194" t="n"/>
      <c r="X79" s="194" t="n"/>
      <c r="Y79" s="194" t="n"/>
      <c r="Z79" s="194" t="n"/>
      <c r="AA79" s="194" t="n"/>
      <c r="AB79" s="194" t="n"/>
      <c r="AC79" s="194" t="n"/>
      <c r="AD79" s="194" t="n"/>
      <c r="AE79" s="194" t="n"/>
      <c r="AF79" s="194" t="n"/>
      <c r="AG79" s="194" t="n"/>
      <c r="AH79" s="194" t="n"/>
      <c r="AI79" s="194" t="n"/>
      <c r="AJ79" s="194" t="n"/>
    </row>
    <row r="80" ht="12" customHeight="1" s="1">
      <c r="A80" s="194" t="n"/>
      <c r="B80" s="194" t="n"/>
      <c r="C80" s="194" t="n"/>
      <c r="D80" s="194" t="n"/>
      <c r="E80" s="194" t="n"/>
      <c r="F80" s="194" t="n"/>
      <c r="G80" s="194" t="n"/>
      <c r="H80" s="109" t="n"/>
      <c r="I80" s="110" t="n"/>
      <c r="J80" s="110" t="n"/>
      <c r="K80" s="110" t="n"/>
      <c r="L80" s="110" t="n"/>
      <c r="M80" s="110" t="n"/>
      <c r="N80" s="110" t="n"/>
      <c r="O80" s="110" t="n"/>
      <c r="P80" s="110" t="n"/>
      <c r="Q80" s="110" t="n"/>
      <c r="R80" s="110" t="n"/>
      <c r="S80" s="110" t="n"/>
      <c r="T80" s="111" t="n"/>
      <c r="U80" s="194" t="n"/>
      <c r="V80" s="194" t="n"/>
      <c r="W80" s="194" t="n"/>
      <c r="X80" s="194" t="n"/>
      <c r="Y80" s="194" t="n"/>
      <c r="Z80" s="194" t="n"/>
      <c r="AA80" s="194" t="n"/>
      <c r="AB80" s="194" t="n"/>
      <c r="AC80" s="194" t="n"/>
      <c r="AD80" s="194" t="n"/>
      <c r="AE80" s="194" t="n"/>
      <c r="AF80" s="194" t="n"/>
      <c r="AG80" s="194" t="n"/>
      <c r="AH80" s="194" t="n"/>
      <c r="AI80" s="194" t="n"/>
      <c r="AJ80" s="194" t="n"/>
    </row>
    <row r="81" ht="12" customHeight="1" s="1">
      <c r="A81" s="194" t="n"/>
      <c r="B81" s="194" t="n"/>
      <c r="C81" s="194" t="n"/>
      <c r="D81" s="194" t="n"/>
      <c r="E81" s="194" t="n"/>
      <c r="F81" s="194" t="n"/>
      <c r="G81" s="194" t="n"/>
      <c r="H81" s="109" t="n"/>
      <c r="I81" s="110" t="n"/>
      <c r="J81" s="110" t="n"/>
      <c r="K81" s="110" t="n"/>
      <c r="L81" s="110" t="n"/>
      <c r="M81" s="110" t="n"/>
      <c r="N81" s="110" t="n"/>
      <c r="O81" s="110" t="n"/>
      <c r="P81" s="110" t="n"/>
      <c r="Q81" s="110" t="n"/>
      <c r="R81" s="110" t="n"/>
      <c r="S81" s="110" t="n"/>
      <c r="T81" s="111" t="n"/>
      <c r="U81" s="194" t="n"/>
      <c r="V81" s="194" t="n"/>
      <c r="W81" s="194" t="n"/>
      <c r="X81" s="194" t="n"/>
      <c r="Y81" s="194" t="n"/>
      <c r="Z81" s="194" t="n"/>
      <c r="AA81" s="194" t="n"/>
      <c r="AB81" s="194" t="n"/>
      <c r="AC81" s="194" t="n"/>
      <c r="AD81" s="194" t="n"/>
      <c r="AE81" s="194" t="n"/>
      <c r="AF81" s="194" t="n"/>
      <c r="AG81" s="194" t="n"/>
      <c r="AH81" s="194" t="n"/>
      <c r="AI81" s="194" t="n"/>
      <c r="AJ81" s="194" t="n"/>
    </row>
    <row r="82" ht="12" customHeight="1" s="1">
      <c r="A82" s="194" t="n"/>
      <c r="B82" s="194" t="n"/>
      <c r="C82" s="194" t="n"/>
      <c r="D82" s="194" t="n"/>
      <c r="E82" s="194" t="n"/>
      <c r="F82" s="194" t="n"/>
      <c r="G82" s="194" t="n"/>
      <c r="H82" s="109" t="n"/>
      <c r="I82" s="110" t="n"/>
      <c r="J82" s="110" t="n"/>
      <c r="K82" s="110" t="n"/>
      <c r="L82" s="110" t="n"/>
      <c r="M82" s="110" t="n"/>
      <c r="N82" s="110" t="n"/>
      <c r="O82" s="110" t="n"/>
      <c r="P82" s="110" t="n"/>
      <c r="Q82" s="110" t="n"/>
      <c r="R82" s="110" t="n"/>
      <c r="S82" s="110" t="n"/>
      <c r="T82" s="111" t="n"/>
      <c r="U82" s="194" t="n"/>
      <c r="V82" s="194" t="n"/>
      <c r="W82" s="194" t="n"/>
      <c r="X82" s="194" t="n"/>
      <c r="Y82" s="194" t="n"/>
      <c r="Z82" s="194" t="n"/>
      <c r="AA82" s="194" t="n"/>
      <c r="AB82" s="194" t="n"/>
      <c r="AC82" s="194" t="n"/>
      <c r="AD82" s="194" t="n"/>
      <c r="AE82" s="194" t="n"/>
      <c r="AF82" s="194" t="n"/>
      <c r="AG82" s="194" t="n"/>
      <c r="AH82" s="194" t="n"/>
      <c r="AI82" s="194" t="n"/>
      <c r="AJ82" s="194" t="n"/>
    </row>
    <row r="83" ht="12" customHeight="1" s="1">
      <c r="A83" s="194" t="n"/>
      <c r="B83" s="194" t="n"/>
      <c r="C83" s="194" t="n"/>
      <c r="D83" s="194" t="n"/>
      <c r="E83" s="194" t="n"/>
      <c r="F83" s="194" t="n"/>
      <c r="G83" s="194" t="n"/>
      <c r="H83" s="109" t="n"/>
      <c r="I83" s="110" t="n"/>
      <c r="J83" s="110" t="n"/>
      <c r="K83" s="110" t="n"/>
      <c r="L83" s="110" t="n"/>
      <c r="M83" s="110" t="n"/>
      <c r="N83" s="110" t="n"/>
      <c r="O83" s="110" t="n"/>
      <c r="P83" s="110" t="n"/>
      <c r="Q83" s="110" t="n"/>
      <c r="R83" s="110" t="n"/>
      <c r="S83" s="110" t="n"/>
      <c r="T83" s="111" t="n"/>
      <c r="U83" s="194" t="n"/>
      <c r="V83" s="194" t="n"/>
      <c r="W83" s="194" t="n"/>
      <c r="X83" s="194" t="n"/>
      <c r="Y83" s="194" t="n"/>
      <c r="Z83" s="194" t="n"/>
      <c r="AA83" s="194" t="n"/>
      <c r="AB83" s="194" t="n"/>
      <c r="AC83" s="194" t="n"/>
      <c r="AD83" s="194" t="n"/>
      <c r="AE83" s="194" t="n"/>
      <c r="AF83" s="194" t="n"/>
      <c r="AG83" s="194" t="n"/>
      <c r="AH83" s="194" t="n"/>
      <c r="AI83" s="194" t="n"/>
      <c r="AJ83" s="194" t="n"/>
    </row>
    <row r="84" ht="12" customHeight="1" s="1">
      <c r="A84" s="194" t="n"/>
      <c r="B84" s="194" t="n"/>
      <c r="C84" s="194" t="n"/>
      <c r="D84" s="194" t="n"/>
      <c r="E84" s="194" t="n"/>
      <c r="F84" s="194" t="n"/>
      <c r="G84" s="194" t="n"/>
      <c r="H84" s="109" t="n"/>
      <c r="I84" s="110" t="n"/>
      <c r="J84" s="110" t="n"/>
      <c r="K84" s="110" t="n"/>
      <c r="L84" s="110" t="n"/>
      <c r="M84" s="110" t="n"/>
      <c r="N84" s="110" t="n"/>
      <c r="O84" s="110" t="n"/>
      <c r="P84" s="110" t="n"/>
      <c r="Q84" s="110" t="n"/>
      <c r="R84" s="110" t="n"/>
      <c r="S84" s="110" t="n"/>
      <c r="T84" s="111" t="n"/>
      <c r="U84" s="194" t="n"/>
      <c r="V84" s="194" t="n"/>
      <c r="W84" s="194" t="n"/>
      <c r="X84" s="194" t="n"/>
      <c r="Y84" s="194" t="n"/>
      <c r="Z84" s="194" t="n"/>
      <c r="AA84" s="194" t="n"/>
      <c r="AB84" s="194" t="n"/>
      <c r="AC84" s="194" t="n"/>
      <c r="AD84" s="194" t="n"/>
      <c r="AE84" s="194" t="n"/>
      <c r="AF84" s="194" t="n"/>
      <c r="AG84" s="194" t="n"/>
      <c r="AH84" s="194" t="n"/>
      <c r="AI84" s="194" t="n"/>
      <c r="AJ84" s="194" t="n"/>
    </row>
    <row r="85" ht="12" customHeight="1" s="1">
      <c r="A85" s="194" t="n"/>
      <c r="B85" s="194" t="n"/>
      <c r="C85" s="194" t="n"/>
      <c r="D85" s="194" t="n"/>
      <c r="E85" s="194" t="n"/>
      <c r="F85" s="194" t="n"/>
      <c r="G85" s="194" t="n"/>
      <c r="H85" s="109" t="n"/>
      <c r="I85" s="110" t="n"/>
      <c r="J85" s="110" t="n"/>
      <c r="K85" s="110" t="n"/>
      <c r="L85" s="110" t="n"/>
      <c r="M85" s="110" t="n"/>
      <c r="N85" s="110" t="n"/>
      <c r="O85" s="110" t="n"/>
      <c r="P85" s="110" t="n"/>
      <c r="Q85" s="110" t="n"/>
      <c r="R85" s="110" t="n"/>
      <c r="S85" s="110" t="n"/>
      <c r="T85" s="111" t="n"/>
      <c r="U85" s="194" t="n"/>
      <c r="V85" s="194" t="n"/>
      <c r="W85" s="194" t="n"/>
      <c r="X85" s="194" t="n"/>
      <c r="Y85" s="194" t="n"/>
      <c r="Z85" s="194" t="n"/>
      <c r="AA85" s="194" t="n"/>
      <c r="AB85" s="194" t="n"/>
      <c r="AC85" s="194" t="n"/>
      <c r="AD85" s="194" t="n"/>
      <c r="AE85" s="194" t="n"/>
      <c r="AF85" s="194" t="n"/>
      <c r="AG85" s="194" t="n"/>
      <c r="AH85" s="194" t="n"/>
      <c r="AI85" s="194" t="n"/>
      <c r="AJ85" s="194" t="n"/>
    </row>
    <row r="86" ht="12" customHeight="1" s="1">
      <c r="A86" s="194" t="n"/>
      <c r="B86" s="194" t="n"/>
      <c r="C86" s="194" t="n"/>
      <c r="D86" s="194" t="n"/>
      <c r="E86" s="194" t="n"/>
      <c r="F86" s="194" t="n"/>
      <c r="G86" s="194" t="n"/>
      <c r="H86" s="109" t="n"/>
      <c r="I86" s="110" t="n"/>
      <c r="J86" s="110" t="n"/>
      <c r="K86" s="110" t="n"/>
      <c r="L86" s="110" t="n"/>
      <c r="M86" s="110" t="n"/>
      <c r="N86" s="110" t="n"/>
      <c r="O86" s="110" t="n"/>
      <c r="P86" s="110" t="n"/>
      <c r="Q86" s="110" t="n"/>
      <c r="R86" s="110" t="n"/>
      <c r="S86" s="110" t="n"/>
      <c r="T86" s="111" t="n"/>
      <c r="U86" s="194" t="n"/>
      <c r="V86" s="194" t="n"/>
      <c r="W86" s="194" t="n"/>
      <c r="X86" s="194" t="n"/>
      <c r="Y86" s="194" t="n"/>
      <c r="Z86" s="194" t="n"/>
      <c r="AA86" s="194" t="n"/>
      <c r="AB86" s="194" t="n"/>
      <c r="AC86" s="194" t="n"/>
      <c r="AD86" s="194" t="n"/>
      <c r="AE86" s="194" t="n"/>
      <c r="AF86" s="194" t="n"/>
      <c r="AG86" s="194" t="n"/>
      <c r="AH86" s="194" t="n"/>
      <c r="AI86" s="194" t="n"/>
      <c r="AJ86" s="194" t="n"/>
    </row>
    <row r="87" ht="12" customHeight="1" s="1">
      <c r="A87" s="194" t="n"/>
      <c r="B87" s="194" t="n"/>
      <c r="C87" s="194" t="n"/>
      <c r="D87" s="194" t="n"/>
      <c r="E87" s="194" t="n"/>
      <c r="F87" s="194" t="n"/>
      <c r="G87" s="194" t="n"/>
      <c r="H87" s="109" t="n"/>
      <c r="I87" s="110" t="n"/>
      <c r="J87" s="110" t="n"/>
      <c r="K87" s="110" t="n"/>
      <c r="L87" s="110" t="n"/>
      <c r="M87" s="110" t="n"/>
      <c r="N87" s="110" t="n"/>
      <c r="O87" s="110" t="n"/>
      <c r="P87" s="110" t="n"/>
      <c r="Q87" s="110" t="n"/>
      <c r="R87" s="110" t="n"/>
      <c r="S87" s="110" t="n"/>
      <c r="T87" s="111" t="n"/>
      <c r="U87" s="194" t="n"/>
      <c r="V87" s="194" t="n"/>
      <c r="W87" s="194" t="n"/>
      <c r="X87" s="194" t="n"/>
      <c r="Y87" s="194" t="n"/>
      <c r="Z87" s="194" t="n"/>
      <c r="AA87" s="194" t="n"/>
      <c r="AB87" s="194" t="n"/>
      <c r="AC87" s="194" t="n"/>
      <c r="AD87" s="194" t="n"/>
      <c r="AE87" s="194" t="n"/>
      <c r="AF87" s="194" t="n"/>
      <c r="AG87" s="194" t="n"/>
      <c r="AH87" s="194" t="n"/>
      <c r="AI87" s="194" t="n"/>
      <c r="AJ87" s="194" t="n"/>
    </row>
    <row r="88" ht="12" customHeight="1" s="1">
      <c r="A88" s="194" t="n"/>
      <c r="B88" s="194" t="n"/>
      <c r="C88" s="194" t="n"/>
      <c r="D88" s="194" t="n"/>
      <c r="E88" s="194" t="n"/>
      <c r="F88" s="194" t="n"/>
      <c r="G88" s="194" t="n"/>
      <c r="H88" s="109" t="n"/>
      <c r="I88" s="110" t="n"/>
      <c r="J88" s="110" t="n"/>
      <c r="K88" s="110" t="n"/>
      <c r="L88" s="110" t="n"/>
      <c r="M88" s="110" t="n"/>
      <c r="N88" s="110" t="n"/>
      <c r="O88" s="110" t="n"/>
      <c r="P88" s="110" t="n"/>
      <c r="Q88" s="110" t="n"/>
      <c r="R88" s="110" t="n"/>
      <c r="S88" s="110" t="n"/>
      <c r="T88" s="111" t="n"/>
      <c r="U88" s="194" t="n"/>
      <c r="V88" s="194" t="n"/>
      <c r="W88" s="194" t="n"/>
      <c r="X88" s="194" t="n"/>
      <c r="Y88" s="194" t="n"/>
      <c r="Z88" s="194" t="n"/>
      <c r="AA88" s="194" t="n"/>
      <c r="AB88" s="194" t="n"/>
      <c r="AC88" s="194" t="n"/>
      <c r="AD88" s="194" t="n"/>
      <c r="AE88" s="194" t="n"/>
      <c r="AF88" s="194" t="n"/>
      <c r="AG88" s="194" t="n"/>
      <c r="AH88" s="194" t="n"/>
      <c r="AI88" s="194" t="n"/>
      <c r="AJ88" s="194" t="n"/>
    </row>
    <row r="89" ht="12" customHeight="1" s="1">
      <c r="A89" s="194" t="n"/>
      <c r="B89" s="194" t="n"/>
      <c r="C89" s="194" t="n"/>
      <c r="D89" s="194" t="n"/>
      <c r="E89" s="194" t="n"/>
      <c r="F89" s="194" t="n"/>
      <c r="G89" s="194" t="n"/>
      <c r="H89" s="109" t="n"/>
      <c r="I89" s="110" t="n"/>
      <c r="J89" s="110" t="n"/>
      <c r="K89" s="110" t="n"/>
      <c r="L89" s="110" t="n"/>
      <c r="M89" s="110" t="n"/>
      <c r="N89" s="110" t="n"/>
      <c r="O89" s="110" t="n"/>
      <c r="P89" s="110" t="n"/>
      <c r="Q89" s="110" t="n"/>
      <c r="R89" s="110" t="n"/>
      <c r="S89" s="110" t="n"/>
      <c r="T89" s="111" t="n"/>
      <c r="U89" s="194" t="n"/>
      <c r="V89" s="194" t="n"/>
      <c r="W89" s="194" t="n"/>
      <c r="X89" s="194" t="n"/>
      <c r="Y89" s="194" t="n"/>
      <c r="Z89" s="194" t="n"/>
      <c r="AA89" s="194" t="n"/>
      <c r="AB89" s="194" t="n"/>
      <c r="AC89" s="194" t="n"/>
      <c r="AD89" s="194" t="n"/>
      <c r="AE89" s="194" t="n"/>
      <c r="AF89" s="194" t="n"/>
      <c r="AG89" s="194" t="n"/>
      <c r="AH89" s="194" t="n"/>
      <c r="AI89" s="194" t="n"/>
      <c r="AJ89" s="194" t="n"/>
    </row>
    <row r="90" ht="12" customHeight="1" s="1">
      <c r="A90" s="194" t="n"/>
      <c r="B90" s="194" t="n"/>
      <c r="C90" s="194" t="n"/>
      <c r="D90" s="194" t="n"/>
      <c r="E90" s="194" t="n"/>
      <c r="F90" s="194" t="n"/>
      <c r="G90" s="194" t="n"/>
      <c r="H90" s="109" t="n"/>
      <c r="I90" s="110" t="n"/>
      <c r="J90" s="110" t="n"/>
      <c r="K90" s="110" t="n"/>
      <c r="L90" s="110" t="n"/>
      <c r="M90" s="110" t="n"/>
      <c r="N90" s="110" t="n"/>
      <c r="O90" s="110" t="n"/>
      <c r="P90" s="110" t="n"/>
      <c r="Q90" s="110" t="n"/>
      <c r="R90" s="110" t="n"/>
      <c r="S90" s="110" t="n"/>
      <c r="T90" s="111" t="n"/>
      <c r="U90" s="194" t="n"/>
      <c r="V90" s="194" t="n"/>
      <c r="W90" s="194" t="n"/>
      <c r="X90" s="194" t="n"/>
      <c r="Y90" s="194" t="n"/>
      <c r="Z90" s="194" t="n"/>
      <c r="AA90" s="194" t="n"/>
      <c r="AB90" s="194" t="n"/>
      <c r="AC90" s="194" t="n"/>
      <c r="AD90" s="194" t="n"/>
      <c r="AE90" s="194" t="n"/>
      <c r="AF90" s="194" t="n"/>
      <c r="AG90" s="194" t="n"/>
      <c r="AH90" s="194" t="n"/>
      <c r="AI90" s="194" t="n"/>
      <c r="AJ90" s="194" t="n"/>
    </row>
    <row r="91" ht="12" customHeight="1" s="1">
      <c r="A91" s="194" t="n"/>
      <c r="B91" s="194" t="n"/>
      <c r="C91" s="194" t="n"/>
      <c r="D91" s="194" t="n"/>
      <c r="E91" s="194" t="n"/>
      <c r="F91" s="194" t="n"/>
      <c r="G91" s="194" t="n"/>
      <c r="H91" s="109" t="n"/>
      <c r="I91" s="110" t="n"/>
      <c r="J91" s="110" t="n"/>
      <c r="K91" s="110" t="n"/>
      <c r="L91" s="110" t="n"/>
      <c r="M91" s="110" t="n"/>
      <c r="N91" s="110" t="n"/>
      <c r="O91" s="110" t="n"/>
      <c r="P91" s="110" t="n"/>
      <c r="Q91" s="110" t="n"/>
      <c r="R91" s="110" t="n"/>
      <c r="S91" s="110" t="n"/>
      <c r="T91" s="111" t="n"/>
      <c r="U91" s="194" t="n"/>
      <c r="V91" s="194" t="n"/>
      <c r="W91" s="194" t="n"/>
      <c r="X91" s="194" t="n"/>
      <c r="Y91" s="194" t="n"/>
      <c r="Z91" s="194" t="n"/>
      <c r="AA91" s="194" t="n"/>
      <c r="AB91" s="194" t="n"/>
      <c r="AC91" s="194" t="n"/>
      <c r="AD91" s="194" t="n"/>
      <c r="AE91" s="194" t="n"/>
      <c r="AF91" s="194" t="n"/>
      <c r="AG91" s="194" t="n"/>
      <c r="AH91" s="194" t="n"/>
      <c r="AI91" s="194" t="n"/>
      <c r="AJ91" s="194" t="n"/>
    </row>
    <row r="92" ht="12" customHeight="1" s="1">
      <c r="A92" s="194" t="n"/>
      <c r="B92" s="194" t="n"/>
      <c r="C92" s="194" t="n"/>
      <c r="D92" s="194" t="n"/>
      <c r="E92" s="194" t="n"/>
      <c r="F92" s="194" t="n"/>
      <c r="G92" s="194" t="n"/>
      <c r="H92" s="109" t="n"/>
      <c r="I92" s="110" t="n"/>
      <c r="J92" s="110" t="n"/>
      <c r="K92" s="110" t="n"/>
      <c r="L92" s="110" t="n"/>
      <c r="M92" s="110" t="n"/>
      <c r="N92" s="110" t="n"/>
      <c r="O92" s="110" t="n"/>
      <c r="P92" s="110" t="n"/>
      <c r="Q92" s="110" t="n"/>
      <c r="R92" s="110" t="n"/>
      <c r="S92" s="110" t="n"/>
      <c r="T92" s="111" t="n"/>
      <c r="U92" s="194" t="n"/>
      <c r="V92" s="194" t="n"/>
      <c r="W92" s="194" t="n"/>
      <c r="X92" s="194" t="n"/>
      <c r="Y92" s="194" t="n"/>
      <c r="Z92" s="194" t="n"/>
      <c r="AA92" s="194" t="n"/>
      <c r="AB92" s="194" t="n"/>
      <c r="AC92" s="194" t="n"/>
      <c r="AD92" s="194" t="n"/>
      <c r="AE92" s="194" t="n"/>
      <c r="AF92" s="194" t="n"/>
      <c r="AG92" s="194" t="n"/>
      <c r="AH92" s="194" t="n"/>
      <c r="AI92" s="194" t="n"/>
      <c r="AJ92" s="194" t="n"/>
    </row>
    <row r="93" ht="12" customHeight="1" s="1">
      <c r="A93" s="194" t="n"/>
      <c r="B93" s="194" t="n"/>
      <c r="C93" s="194" t="n"/>
      <c r="D93" s="194" t="n"/>
      <c r="E93" s="194" t="n"/>
      <c r="F93" s="194" t="n"/>
      <c r="G93" s="194" t="n"/>
      <c r="H93" s="109" t="n"/>
      <c r="I93" s="110" t="n"/>
      <c r="J93" s="110" t="n"/>
      <c r="K93" s="110" t="n"/>
      <c r="L93" s="110" t="n"/>
      <c r="M93" s="110" t="n"/>
      <c r="N93" s="110" t="n"/>
      <c r="O93" s="110" t="n"/>
      <c r="P93" s="110" t="n"/>
      <c r="Q93" s="110" t="n"/>
      <c r="R93" s="110" t="n"/>
      <c r="S93" s="110" t="n"/>
      <c r="T93" s="111" t="n"/>
      <c r="U93" s="194" t="n"/>
      <c r="V93" s="194" t="n"/>
      <c r="W93" s="194" t="n"/>
      <c r="X93" s="194" t="n"/>
      <c r="Y93" s="194" t="n"/>
      <c r="Z93" s="194" t="n"/>
      <c r="AA93" s="194" t="n"/>
      <c r="AB93" s="194" t="n"/>
      <c r="AC93" s="194" t="n"/>
      <c r="AD93" s="194" t="n"/>
      <c r="AE93" s="194" t="n"/>
      <c r="AF93" s="194" t="n"/>
      <c r="AG93" s="194" t="n"/>
      <c r="AH93" s="194" t="n"/>
      <c r="AI93" s="194" t="n"/>
      <c r="AJ93" s="194" t="n"/>
    </row>
    <row r="94" ht="12" customHeight="1" s="1">
      <c r="A94" s="194" t="n"/>
      <c r="B94" s="194" t="n"/>
      <c r="C94" s="194" t="n"/>
      <c r="D94" s="194" t="n"/>
      <c r="E94" s="194" t="n"/>
      <c r="F94" s="194" t="n"/>
      <c r="G94" s="194" t="n"/>
      <c r="H94" s="109" t="n"/>
      <c r="I94" s="110" t="n"/>
      <c r="J94" s="110" t="n"/>
      <c r="K94" s="110" t="n"/>
      <c r="L94" s="110" t="n"/>
      <c r="M94" s="110" t="n"/>
      <c r="N94" s="110" t="n"/>
      <c r="O94" s="110" t="n"/>
      <c r="P94" s="110" t="n"/>
      <c r="Q94" s="110" t="n"/>
      <c r="R94" s="110" t="n"/>
      <c r="S94" s="110" t="n"/>
      <c r="T94" s="111" t="n"/>
      <c r="U94" s="194" t="n"/>
      <c r="V94" s="194" t="n"/>
      <c r="W94" s="194" t="n"/>
      <c r="X94" s="194" t="n"/>
      <c r="Y94" s="194" t="n"/>
      <c r="Z94" s="194" t="n"/>
      <c r="AA94" s="194" t="n"/>
      <c r="AB94" s="194" t="n"/>
      <c r="AC94" s="194" t="n"/>
      <c r="AD94" s="194" t="n"/>
      <c r="AE94" s="194" t="n"/>
      <c r="AF94" s="194" t="n"/>
      <c r="AG94" s="194" t="n"/>
      <c r="AH94" s="194" t="n"/>
      <c r="AI94" s="194" t="n"/>
      <c r="AJ94" s="194" t="n"/>
    </row>
    <row r="95" ht="12" customHeight="1" s="1">
      <c r="A95" s="194" t="n"/>
      <c r="B95" s="194" t="n"/>
      <c r="C95" s="194" t="n"/>
      <c r="D95" s="194" t="n"/>
      <c r="E95" s="194" t="n"/>
      <c r="F95" s="194" t="n"/>
      <c r="G95" s="194" t="n"/>
      <c r="H95" s="109" t="n"/>
      <c r="I95" s="110" t="n"/>
      <c r="J95" s="110" t="n"/>
      <c r="K95" s="110" t="n"/>
      <c r="L95" s="110" t="n"/>
      <c r="M95" s="110" t="n"/>
      <c r="N95" s="110" t="n"/>
      <c r="O95" s="110" t="n"/>
      <c r="P95" s="110" t="n"/>
      <c r="Q95" s="110" t="n"/>
      <c r="R95" s="110" t="n"/>
      <c r="S95" s="110" t="n"/>
      <c r="T95" s="111" t="n"/>
      <c r="U95" s="194" t="n"/>
      <c r="V95" s="194" t="n"/>
      <c r="W95" s="194" t="n"/>
      <c r="X95" s="194" t="n"/>
      <c r="Y95" s="194" t="n"/>
      <c r="Z95" s="194" t="n"/>
      <c r="AA95" s="194" t="n"/>
      <c r="AB95" s="194" t="n"/>
      <c r="AC95" s="194" t="n"/>
      <c r="AD95" s="194" t="n"/>
      <c r="AE95" s="194" t="n"/>
      <c r="AF95" s="194" t="n"/>
      <c r="AG95" s="194" t="n"/>
      <c r="AH95" s="194" t="n"/>
      <c r="AI95" s="194" t="n"/>
      <c r="AJ95" s="194" t="n"/>
    </row>
    <row r="96" ht="12" customHeight="1" s="1">
      <c r="A96" s="194" t="n"/>
      <c r="B96" s="194" t="n"/>
      <c r="C96" s="194" t="n"/>
      <c r="D96" s="194" t="n"/>
      <c r="E96" s="194" t="n"/>
      <c r="F96" s="194" t="n"/>
      <c r="G96" s="194" t="n"/>
      <c r="H96" s="109" t="n"/>
      <c r="I96" s="110" t="n"/>
      <c r="J96" s="110" t="n"/>
      <c r="K96" s="110" t="n"/>
      <c r="L96" s="110" t="n"/>
      <c r="M96" s="110" t="n"/>
      <c r="N96" s="110" t="n"/>
      <c r="O96" s="110" t="n"/>
      <c r="P96" s="110" t="n"/>
      <c r="Q96" s="110" t="n"/>
      <c r="R96" s="110" t="n"/>
      <c r="S96" s="110" t="n"/>
      <c r="T96" s="111" t="n"/>
      <c r="U96" s="194" t="n"/>
      <c r="V96" s="194" t="n"/>
      <c r="W96" s="194" t="n"/>
      <c r="X96" s="194" t="n"/>
      <c r="Y96" s="194" t="n"/>
      <c r="Z96" s="194" t="n"/>
      <c r="AA96" s="194" t="n"/>
      <c r="AB96" s="194" t="n"/>
      <c r="AC96" s="194" t="n"/>
      <c r="AD96" s="194" t="n"/>
      <c r="AE96" s="194" t="n"/>
      <c r="AF96" s="194" t="n"/>
      <c r="AG96" s="194" t="n"/>
      <c r="AH96" s="194" t="n"/>
      <c r="AI96" s="194" t="n"/>
      <c r="AJ96" s="194" t="n"/>
    </row>
    <row r="97" ht="12" customHeight="1" s="1">
      <c r="A97" s="194" t="n"/>
      <c r="B97" s="194" t="n"/>
      <c r="C97" s="194" t="n"/>
      <c r="D97" s="194" t="n"/>
      <c r="E97" s="194" t="n"/>
      <c r="F97" s="194" t="n"/>
      <c r="G97" s="194" t="n"/>
      <c r="H97" s="109" t="n"/>
      <c r="I97" s="110" t="n"/>
      <c r="J97" s="110" t="n"/>
      <c r="K97" s="110" t="n"/>
      <c r="L97" s="110" t="n"/>
      <c r="M97" s="110" t="n"/>
      <c r="N97" s="110" t="n"/>
      <c r="O97" s="110" t="n"/>
      <c r="P97" s="110" t="n"/>
      <c r="Q97" s="110" t="n"/>
      <c r="R97" s="110" t="n"/>
      <c r="S97" s="110" t="n"/>
      <c r="T97" s="111" t="n"/>
      <c r="U97" s="194" t="n"/>
      <c r="V97" s="194" t="n"/>
      <c r="W97" s="194" t="n"/>
      <c r="X97" s="194" t="n"/>
      <c r="Y97" s="194" t="n"/>
      <c r="Z97" s="194" t="n"/>
      <c r="AA97" s="194" t="n"/>
      <c r="AB97" s="194" t="n"/>
      <c r="AC97" s="194" t="n"/>
      <c r="AD97" s="194" t="n"/>
      <c r="AE97" s="194" t="n"/>
      <c r="AF97" s="194" t="n"/>
      <c r="AG97" s="194" t="n"/>
      <c r="AH97" s="194" t="n"/>
      <c r="AI97" s="194" t="n"/>
      <c r="AJ97" s="194" t="n"/>
    </row>
    <row r="98" ht="12" customHeight="1" s="1">
      <c r="A98" s="194" t="n"/>
      <c r="B98" s="194" t="n"/>
      <c r="C98" s="194" t="n"/>
      <c r="D98" s="194" t="n"/>
      <c r="E98" s="194" t="n"/>
      <c r="F98" s="194" t="n"/>
      <c r="G98" s="194" t="n"/>
      <c r="H98" s="109" t="n"/>
      <c r="I98" s="110" t="n"/>
      <c r="J98" s="110" t="n"/>
      <c r="K98" s="110" t="n"/>
      <c r="L98" s="110" t="n"/>
      <c r="M98" s="110" t="n"/>
      <c r="N98" s="110" t="n"/>
      <c r="O98" s="110" t="n"/>
      <c r="P98" s="110" t="n"/>
      <c r="Q98" s="110" t="n"/>
      <c r="R98" s="110" t="n"/>
      <c r="S98" s="110" t="n"/>
      <c r="T98" s="111" t="n"/>
      <c r="U98" s="194" t="n"/>
      <c r="V98" s="194" t="n"/>
      <c r="W98" s="194" t="n"/>
      <c r="X98" s="194" t="n"/>
      <c r="Y98" s="194" t="n"/>
      <c r="Z98" s="194" t="n"/>
      <c r="AA98" s="194" t="n"/>
      <c r="AB98" s="194" t="n"/>
      <c r="AC98" s="194" t="n"/>
      <c r="AD98" s="194" t="n"/>
      <c r="AE98" s="194" t="n"/>
      <c r="AF98" s="194" t="n"/>
      <c r="AG98" s="194" t="n"/>
      <c r="AH98" s="194" t="n"/>
      <c r="AI98" s="194" t="n"/>
      <c r="AJ98" s="194" t="n"/>
    </row>
    <row r="99" ht="12" customHeight="1" s="1">
      <c r="A99" s="194" t="n"/>
      <c r="B99" s="194" t="n"/>
      <c r="C99" s="194" t="n"/>
      <c r="D99" s="194" t="n"/>
      <c r="E99" s="194" t="n"/>
      <c r="F99" s="194" t="n"/>
      <c r="G99" s="194" t="n"/>
      <c r="H99" s="109" t="n"/>
      <c r="I99" s="110" t="n"/>
      <c r="J99" s="110" t="n"/>
      <c r="K99" s="110" t="n"/>
      <c r="L99" s="110" t="n"/>
      <c r="M99" s="110" t="n"/>
      <c r="N99" s="110" t="n"/>
      <c r="O99" s="110" t="n"/>
      <c r="P99" s="110" t="n"/>
      <c r="Q99" s="110" t="n"/>
      <c r="R99" s="110" t="n"/>
      <c r="S99" s="110" t="n"/>
      <c r="T99" s="111" t="n"/>
      <c r="U99" s="194" t="n"/>
      <c r="V99" s="194" t="n"/>
      <c r="W99" s="194" t="n"/>
      <c r="X99" s="194" t="n"/>
      <c r="Y99" s="194" t="n"/>
      <c r="Z99" s="194" t="n"/>
      <c r="AA99" s="194" t="n"/>
      <c r="AB99" s="194" t="n"/>
      <c r="AC99" s="194" t="n"/>
      <c r="AD99" s="194" t="n"/>
      <c r="AE99" s="194" t="n"/>
      <c r="AF99" s="194" t="n"/>
      <c r="AG99" s="194" t="n"/>
      <c r="AH99" s="194" t="n"/>
      <c r="AI99" s="194" t="n"/>
      <c r="AJ99" s="194" t="n"/>
    </row>
    <row r="100" ht="12" customHeight="1" s="1">
      <c r="A100" s="194" t="n"/>
      <c r="B100" s="194" t="n"/>
      <c r="C100" s="194" t="n"/>
      <c r="D100" s="194" t="n"/>
      <c r="E100" s="194" t="n"/>
      <c r="F100" s="194" t="n"/>
      <c r="G100" s="194" t="n"/>
      <c r="H100" s="109" t="n"/>
      <c r="I100" s="110" t="n"/>
      <c r="J100" s="110" t="n"/>
      <c r="K100" s="110" t="n"/>
      <c r="L100" s="110" t="n"/>
      <c r="M100" s="110" t="n"/>
      <c r="N100" s="110" t="n"/>
      <c r="O100" s="110" t="n"/>
      <c r="P100" s="110" t="n"/>
      <c r="Q100" s="110" t="n"/>
      <c r="R100" s="110" t="n"/>
      <c r="S100" s="110" t="n"/>
      <c r="T100" s="111" t="n"/>
      <c r="U100" s="194" t="n"/>
      <c r="V100" s="194" t="n"/>
      <c r="W100" s="194" t="n"/>
      <c r="X100" s="194" t="n"/>
      <c r="Y100" s="194" t="n"/>
      <c r="Z100" s="194" t="n"/>
      <c r="AA100" s="194" t="n"/>
      <c r="AB100" s="194" t="n"/>
      <c r="AC100" s="194" t="n"/>
      <c r="AD100" s="194" t="n"/>
      <c r="AE100" s="194" t="n"/>
      <c r="AF100" s="194" t="n"/>
      <c r="AG100" s="194" t="n"/>
      <c r="AH100" s="194" t="n"/>
      <c r="AI100" s="194" t="n"/>
      <c r="AJ100" s="194" t="n"/>
    </row>
    <row r="101" ht="12" customHeight="1" s="1">
      <c r="A101" s="194" t="n"/>
      <c r="B101" s="194" t="n"/>
      <c r="C101" s="194" t="n"/>
      <c r="D101" s="194" t="n"/>
      <c r="E101" s="194" t="n"/>
      <c r="F101" s="194" t="n"/>
      <c r="G101" s="194" t="n"/>
      <c r="H101" s="109" t="n"/>
      <c r="I101" s="110" t="n"/>
      <c r="J101" s="110" t="n"/>
      <c r="K101" s="110" t="n"/>
      <c r="L101" s="110" t="n"/>
      <c r="M101" s="110" t="n"/>
      <c r="N101" s="110" t="n"/>
      <c r="O101" s="110" t="n"/>
      <c r="P101" s="110" t="n"/>
      <c r="Q101" s="110" t="n"/>
      <c r="R101" s="110" t="n"/>
      <c r="S101" s="110" t="n"/>
      <c r="T101" s="111" t="n"/>
      <c r="U101" s="194" t="n"/>
      <c r="V101" s="194" t="n"/>
      <c r="W101" s="194" t="n"/>
      <c r="X101" s="194" t="n"/>
      <c r="Y101" s="194" t="n"/>
      <c r="Z101" s="194" t="n"/>
      <c r="AA101" s="194" t="n"/>
      <c r="AB101" s="194" t="n"/>
      <c r="AC101" s="194" t="n"/>
      <c r="AD101" s="194" t="n"/>
      <c r="AE101" s="194" t="n"/>
      <c r="AF101" s="194" t="n"/>
      <c r="AG101" s="194" t="n"/>
      <c r="AH101" s="194" t="n"/>
      <c r="AI101" s="194" t="n"/>
      <c r="AJ101" s="194" t="n"/>
    </row>
    <row r="102" ht="12" customHeight="1" s="1">
      <c r="A102" s="194" t="n"/>
      <c r="B102" s="194" t="n"/>
      <c r="C102" s="194" t="n"/>
      <c r="D102" s="194" t="n"/>
      <c r="E102" s="194" t="n"/>
      <c r="F102" s="194" t="n"/>
      <c r="G102" s="194" t="n"/>
      <c r="H102" s="109" t="n"/>
      <c r="I102" s="110" t="n"/>
      <c r="J102" s="110" t="n"/>
      <c r="K102" s="110" t="n"/>
      <c r="L102" s="110" t="n"/>
      <c r="M102" s="110" t="n"/>
      <c r="N102" s="110" t="n"/>
      <c r="O102" s="110" t="n"/>
      <c r="P102" s="110" t="n"/>
      <c r="Q102" s="110" t="n"/>
      <c r="R102" s="110" t="n"/>
      <c r="S102" s="110" t="n"/>
      <c r="T102" s="111" t="n"/>
      <c r="U102" s="194" t="n"/>
      <c r="V102" s="194" t="n"/>
      <c r="W102" s="194" t="n"/>
      <c r="X102" s="194" t="n"/>
      <c r="Y102" s="194" t="n"/>
      <c r="Z102" s="194" t="n"/>
      <c r="AA102" s="194" t="n"/>
      <c r="AB102" s="194" t="n"/>
      <c r="AC102" s="194" t="n"/>
      <c r="AD102" s="194" t="n"/>
      <c r="AE102" s="194" t="n"/>
      <c r="AF102" s="194" t="n"/>
      <c r="AG102" s="194" t="n"/>
      <c r="AH102" s="194" t="n"/>
      <c r="AI102" s="194" t="n"/>
      <c r="AJ102" s="194" t="n"/>
    </row>
    <row r="103" ht="12" customHeight="1" s="1">
      <c r="A103" s="194" t="n"/>
      <c r="B103" s="194" t="n"/>
      <c r="C103" s="194" t="n"/>
      <c r="D103" s="194" t="n"/>
      <c r="E103" s="194" t="n"/>
      <c r="F103" s="194" t="n"/>
      <c r="G103" s="194" t="n"/>
      <c r="H103" s="109" t="n"/>
      <c r="I103" s="110" t="n"/>
      <c r="J103" s="110" t="n"/>
      <c r="K103" s="110" t="n"/>
      <c r="L103" s="110" t="n"/>
      <c r="M103" s="110" t="n"/>
      <c r="N103" s="110" t="n"/>
      <c r="O103" s="110" t="n"/>
      <c r="P103" s="110" t="n"/>
      <c r="Q103" s="110" t="n"/>
      <c r="R103" s="110" t="n"/>
      <c r="S103" s="110" t="n"/>
      <c r="T103" s="111" t="n"/>
      <c r="U103" s="194" t="n"/>
      <c r="V103" s="194" t="n"/>
      <c r="W103" s="194" t="n"/>
      <c r="X103" s="194" t="n"/>
      <c r="Y103" s="194" t="n"/>
      <c r="Z103" s="194" t="n"/>
      <c r="AA103" s="194" t="n"/>
      <c r="AB103" s="194" t="n"/>
      <c r="AC103" s="194" t="n"/>
      <c r="AD103" s="194" t="n"/>
      <c r="AE103" s="194" t="n"/>
      <c r="AF103" s="194" t="n"/>
      <c r="AG103" s="194" t="n"/>
      <c r="AH103" s="194" t="n"/>
      <c r="AI103" s="194" t="n"/>
      <c r="AJ103" s="194" t="n"/>
    </row>
    <row r="104" ht="12" customHeight="1" s="1">
      <c r="A104" s="194" t="n"/>
      <c r="B104" s="194" t="n"/>
      <c r="C104" s="194" t="n"/>
      <c r="D104" s="194" t="n"/>
      <c r="E104" s="194" t="n"/>
      <c r="F104" s="194" t="n"/>
      <c r="G104" s="194" t="n"/>
      <c r="H104" s="109" t="n"/>
      <c r="I104" s="110" t="n"/>
      <c r="J104" s="110" t="n"/>
      <c r="K104" s="110" t="n"/>
      <c r="L104" s="110" t="n"/>
      <c r="M104" s="110" t="n"/>
      <c r="N104" s="110" t="n"/>
      <c r="O104" s="110" t="n"/>
      <c r="P104" s="110" t="n"/>
      <c r="Q104" s="110" t="n"/>
      <c r="R104" s="110" t="n"/>
      <c r="S104" s="110" t="n"/>
      <c r="T104" s="111" t="n"/>
      <c r="U104" s="194" t="n"/>
      <c r="V104" s="194" t="n"/>
      <c r="W104" s="194" t="n"/>
      <c r="X104" s="194" t="n"/>
      <c r="Y104" s="194" t="n"/>
      <c r="Z104" s="194" t="n"/>
      <c r="AA104" s="194" t="n"/>
      <c r="AB104" s="194" t="n"/>
      <c r="AC104" s="194" t="n"/>
      <c r="AD104" s="194" t="n"/>
      <c r="AE104" s="194" t="n"/>
      <c r="AF104" s="194" t="n"/>
      <c r="AG104" s="194" t="n"/>
      <c r="AH104" s="194" t="n"/>
      <c r="AI104" s="194" t="n"/>
      <c r="AJ104" s="194" t="n"/>
    </row>
    <row r="105" ht="12" customHeight="1" s="1">
      <c r="A105" s="194" t="n"/>
      <c r="B105" s="194" t="n"/>
      <c r="C105" s="194" t="n"/>
      <c r="D105" s="194" t="n"/>
      <c r="E105" s="194" t="n"/>
      <c r="F105" s="194" t="n"/>
      <c r="G105" s="194" t="n"/>
      <c r="H105" s="109" t="n"/>
      <c r="I105" s="110" t="n"/>
      <c r="J105" s="110" t="n"/>
      <c r="K105" s="110" t="n"/>
      <c r="L105" s="110" t="n"/>
      <c r="M105" s="110" t="n"/>
      <c r="N105" s="110" t="n"/>
      <c r="O105" s="110" t="n"/>
      <c r="P105" s="110" t="n"/>
      <c r="Q105" s="110" t="n"/>
      <c r="R105" s="110" t="n"/>
      <c r="S105" s="110" t="n"/>
      <c r="T105" s="111" t="n"/>
      <c r="U105" s="194" t="n"/>
      <c r="V105" s="194" t="n"/>
      <c r="W105" s="194" t="n"/>
      <c r="X105" s="194" t="n"/>
      <c r="Y105" s="194" t="n"/>
      <c r="Z105" s="194" t="n"/>
      <c r="AA105" s="194" t="n"/>
      <c r="AB105" s="194" t="n"/>
      <c r="AC105" s="194" t="n"/>
      <c r="AD105" s="194" t="n"/>
      <c r="AE105" s="194" t="n"/>
      <c r="AF105" s="194" t="n"/>
      <c r="AG105" s="194" t="n"/>
      <c r="AH105" s="194" t="n"/>
      <c r="AI105" s="194" t="n"/>
      <c r="AJ105" s="194" t="n"/>
    </row>
    <row r="106" ht="12" customHeight="1" s="1">
      <c r="A106" s="194" t="n"/>
      <c r="B106" s="194" t="n"/>
      <c r="C106" s="194" t="n"/>
      <c r="D106" s="194" t="n"/>
      <c r="E106" s="194" t="n"/>
      <c r="F106" s="194" t="n"/>
      <c r="G106" s="194" t="n"/>
      <c r="H106" s="109" t="n"/>
      <c r="I106" s="110" t="n"/>
      <c r="J106" s="110" t="n"/>
      <c r="K106" s="110" t="n"/>
      <c r="L106" s="110" t="n"/>
      <c r="M106" s="110" t="n"/>
      <c r="N106" s="110" t="n"/>
      <c r="O106" s="110" t="n"/>
      <c r="P106" s="110" t="n"/>
      <c r="Q106" s="110" t="n"/>
      <c r="R106" s="110" t="n"/>
      <c r="S106" s="110" t="n"/>
      <c r="T106" s="111" t="n"/>
      <c r="U106" s="194" t="n"/>
      <c r="V106" s="194" t="n"/>
      <c r="W106" s="194" t="n"/>
      <c r="X106" s="194" t="n"/>
      <c r="Y106" s="194" t="n"/>
      <c r="Z106" s="194" t="n"/>
      <c r="AA106" s="194" t="n"/>
      <c r="AB106" s="194" t="n"/>
      <c r="AC106" s="194" t="n"/>
      <c r="AD106" s="194" t="n"/>
      <c r="AE106" s="194" t="n"/>
      <c r="AF106" s="194" t="n"/>
      <c r="AG106" s="194" t="n"/>
      <c r="AH106" s="194" t="n"/>
      <c r="AI106" s="194" t="n"/>
      <c r="AJ106" s="194" t="n"/>
    </row>
    <row r="107" ht="12" customHeight="1" s="1">
      <c r="A107" s="194" t="n"/>
      <c r="B107" s="194" t="n"/>
      <c r="C107" s="194" t="n"/>
      <c r="D107" s="194" t="n"/>
      <c r="E107" s="194" t="n"/>
      <c r="F107" s="194" t="n"/>
      <c r="G107" s="194" t="n"/>
      <c r="H107" s="109" t="n"/>
      <c r="I107" s="110" t="n"/>
      <c r="J107" s="110" t="n"/>
      <c r="K107" s="110" t="n"/>
      <c r="L107" s="110" t="n"/>
      <c r="M107" s="110" t="n"/>
      <c r="N107" s="110" t="n"/>
      <c r="O107" s="110" t="n"/>
      <c r="P107" s="110" t="n"/>
      <c r="Q107" s="110" t="n"/>
      <c r="R107" s="110" t="n"/>
      <c r="S107" s="110" t="n"/>
      <c r="T107" s="111" t="n"/>
      <c r="U107" s="194" t="n"/>
      <c r="V107" s="194" t="n"/>
      <c r="W107" s="194" t="n"/>
      <c r="X107" s="194" t="n"/>
      <c r="Y107" s="194" t="n"/>
      <c r="Z107" s="194" t="n"/>
      <c r="AA107" s="194" t="n"/>
      <c r="AB107" s="194" t="n"/>
      <c r="AC107" s="194" t="n"/>
      <c r="AD107" s="194" t="n"/>
      <c r="AE107" s="194" t="n"/>
      <c r="AF107" s="194" t="n"/>
      <c r="AG107" s="194" t="n"/>
      <c r="AH107" s="194" t="n"/>
      <c r="AI107" s="194" t="n"/>
      <c r="AJ107" s="194" t="n"/>
    </row>
    <row r="108" ht="12" customHeight="1" s="1">
      <c r="A108" s="194" t="n"/>
      <c r="B108" s="194" t="n"/>
      <c r="C108" s="194" t="n"/>
      <c r="D108" s="194" t="n"/>
      <c r="E108" s="194" t="n"/>
      <c r="F108" s="194" t="n"/>
      <c r="G108" s="194" t="n"/>
      <c r="H108" s="109" t="n"/>
      <c r="I108" s="110" t="n"/>
      <c r="J108" s="110" t="n"/>
      <c r="K108" s="110" t="n"/>
      <c r="L108" s="110" t="n"/>
      <c r="M108" s="110" t="n"/>
      <c r="N108" s="110" t="n"/>
      <c r="O108" s="110" t="n"/>
      <c r="P108" s="110" t="n"/>
      <c r="Q108" s="110" t="n"/>
      <c r="R108" s="110" t="n"/>
      <c r="S108" s="110" t="n"/>
      <c r="T108" s="111" t="n"/>
      <c r="U108" s="194" t="n"/>
      <c r="V108" s="194" t="n"/>
      <c r="W108" s="194" t="n"/>
      <c r="X108" s="194" t="n"/>
      <c r="Y108" s="194" t="n"/>
      <c r="Z108" s="194" t="n"/>
      <c r="AA108" s="194" t="n"/>
      <c r="AB108" s="194" t="n"/>
      <c r="AC108" s="194" t="n"/>
      <c r="AD108" s="194" t="n"/>
      <c r="AE108" s="194" t="n"/>
      <c r="AF108" s="194" t="n"/>
      <c r="AG108" s="194" t="n"/>
      <c r="AH108" s="194" t="n"/>
      <c r="AI108" s="194" t="n"/>
      <c r="AJ108" s="194" t="n"/>
    </row>
    <row r="109" ht="12" customHeight="1" s="1">
      <c r="A109" s="194" t="n"/>
      <c r="B109" s="194" t="n"/>
      <c r="C109" s="194" t="n"/>
      <c r="D109" s="194" t="n"/>
      <c r="E109" s="194" t="n"/>
      <c r="F109" s="194" t="n"/>
      <c r="G109" s="194" t="n"/>
      <c r="H109" s="109" t="n"/>
      <c r="I109" s="110" t="n"/>
      <c r="J109" s="110" t="n"/>
      <c r="K109" s="110" t="n"/>
      <c r="L109" s="110" t="n"/>
      <c r="M109" s="110" t="n"/>
      <c r="N109" s="110" t="n"/>
      <c r="O109" s="110" t="n"/>
      <c r="P109" s="110" t="n"/>
      <c r="Q109" s="110" t="n"/>
      <c r="R109" s="110" t="n"/>
      <c r="S109" s="110" t="n"/>
      <c r="T109" s="111" t="n"/>
      <c r="U109" s="194" t="n"/>
      <c r="V109" s="194" t="n"/>
      <c r="W109" s="194" t="n"/>
      <c r="X109" s="194" t="n"/>
      <c r="Y109" s="194" t="n"/>
      <c r="Z109" s="194" t="n"/>
      <c r="AA109" s="194" t="n"/>
      <c r="AB109" s="194" t="n"/>
      <c r="AC109" s="194" t="n"/>
      <c r="AD109" s="194" t="n"/>
      <c r="AE109" s="194" t="n"/>
      <c r="AF109" s="194" t="n"/>
      <c r="AG109" s="194" t="n"/>
      <c r="AH109" s="194" t="n"/>
      <c r="AI109" s="194" t="n"/>
      <c r="AJ109" s="194" t="n"/>
    </row>
    <row r="110" ht="12" customHeight="1" s="1">
      <c r="A110" s="194" t="n"/>
      <c r="B110" s="194" t="n"/>
      <c r="C110" s="194" t="n"/>
      <c r="D110" s="194" t="n"/>
      <c r="E110" s="194" t="n"/>
      <c r="F110" s="194" t="n"/>
      <c r="G110" s="194" t="n"/>
      <c r="H110" s="109" t="n"/>
      <c r="I110" s="110" t="n"/>
      <c r="J110" s="110" t="n"/>
      <c r="K110" s="110" t="n"/>
      <c r="L110" s="110" t="n"/>
      <c r="M110" s="110" t="n"/>
      <c r="N110" s="110" t="n"/>
      <c r="O110" s="110" t="n"/>
      <c r="P110" s="110" t="n"/>
      <c r="Q110" s="110" t="n"/>
      <c r="R110" s="110" t="n"/>
      <c r="S110" s="110" t="n"/>
      <c r="T110" s="111" t="n"/>
      <c r="U110" s="194" t="n"/>
      <c r="V110" s="194" t="n"/>
      <c r="W110" s="194" t="n"/>
      <c r="X110" s="194" t="n"/>
      <c r="Y110" s="194" t="n"/>
      <c r="Z110" s="194" t="n"/>
      <c r="AA110" s="194" t="n"/>
      <c r="AB110" s="194" t="n"/>
      <c r="AC110" s="194" t="n"/>
      <c r="AD110" s="194" t="n"/>
      <c r="AE110" s="194" t="n"/>
      <c r="AF110" s="194" t="n"/>
      <c r="AG110" s="194" t="n"/>
      <c r="AH110" s="194" t="n"/>
      <c r="AI110" s="194" t="n"/>
      <c r="AJ110" s="194" t="n"/>
    </row>
    <row r="111" ht="12" customHeight="1" s="1">
      <c r="A111" s="194" t="n"/>
      <c r="B111" s="194" t="n"/>
      <c r="C111" s="194" t="n"/>
      <c r="D111" s="194" t="n"/>
      <c r="E111" s="194" t="n"/>
      <c r="F111" s="194" t="n"/>
      <c r="G111" s="194" t="n"/>
      <c r="H111" s="109" t="n"/>
      <c r="I111" s="110" t="n"/>
      <c r="J111" s="110" t="n"/>
      <c r="K111" s="110" t="n"/>
      <c r="L111" s="110" t="n"/>
      <c r="M111" s="110" t="n"/>
      <c r="N111" s="110" t="n"/>
      <c r="O111" s="110" t="n"/>
      <c r="P111" s="110" t="n"/>
      <c r="Q111" s="110" t="n"/>
      <c r="R111" s="110" t="n"/>
      <c r="S111" s="110" t="n"/>
      <c r="T111" s="111" t="n"/>
      <c r="U111" s="194" t="n"/>
      <c r="V111" s="194" t="n"/>
      <c r="W111" s="194" t="n"/>
      <c r="X111" s="194" t="n"/>
      <c r="Y111" s="194" t="n"/>
      <c r="Z111" s="194" t="n"/>
      <c r="AA111" s="194" t="n"/>
      <c r="AB111" s="194" t="n"/>
      <c r="AC111" s="194" t="n"/>
      <c r="AD111" s="194" t="n"/>
      <c r="AE111" s="194" t="n"/>
      <c r="AF111" s="194" t="n"/>
      <c r="AG111" s="194" t="n"/>
      <c r="AH111" s="194" t="n"/>
      <c r="AI111" s="194" t="n"/>
      <c r="AJ111" s="194" t="n"/>
    </row>
    <row r="112" ht="12" customHeight="1" s="1">
      <c r="A112" s="194" t="n"/>
      <c r="B112" s="194" t="n"/>
      <c r="C112" s="194" t="n"/>
      <c r="D112" s="194" t="n"/>
      <c r="E112" s="194" t="n"/>
      <c r="F112" s="194" t="n"/>
      <c r="G112" s="194" t="n"/>
      <c r="H112" s="109" t="n"/>
      <c r="I112" s="110" t="n"/>
      <c r="J112" s="110" t="n"/>
      <c r="K112" s="110" t="n"/>
      <c r="L112" s="110" t="n"/>
      <c r="M112" s="110" t="n"/>
      <c r="N112" s="110" t="n"/>
      <c r="O112" s="110" t="n"/>
      <c r="P112" s="110" t="n"/>
      <c r="Q112" s="110" t="n"/>
      <c r="R112" s="110" t="n"/>
      <c r="S112" s="110" t="n"/>
      <c r="T112" s="111" t="n"/>
      <c r="U112" s="194" t="n"/>
      <c r="V112" s="194" t="n"/>
      <c r="W112" s="194" t="n"/>
      <c r="X112" s="194" t="n"/>
      <c r="Y112" s="194" t="n"/>
      <c r="Z112" s="194" t="n"/>
      <c r="AA112" s="194" t="n"/>
      <c r="AB112" s="194" t="n"/>
      <c r="AC112" s="194" t="n"/>
      <c r="AD112" s="194" t="n"/>
      <c r="AE112" s="194" t="n"/>
      <c r="AF112" s="194" t="n"/>
      <c r="AG112" s="194" t="n"/>
      <c r="AH112" s="194" t="n"/>
      <c r="AI112" s="194" t="n"/>
      <c r="AJ112" s="194" t="n"/>
    </row>
    <row r="113" ht="12" customHeight="1" s="1">
      <c r="A113" s="194" t="n"/>
      <c r="B113" s="194" t="n"/>
      <c r="C113" s="194" t="n"/>
      <c r="D113" s="194" t="n"/>
      <c r="E113" s="194" t="n"/>
      <c r="F113" s="194" t="n"/>
      <c r="G113" s="194" t="n"/>
      <c r="H113" s="109" t="n"/>
      <c r="I113" s="110" t="n"/>
      <c r="J113" s="110" t="n"/>
      <c r="K113" s="110" t="n"/>
      <c r="L113" s="110" t="n"/>
      <c r="M113" s="110" t="n"/>
      <c r="N113" s="110" t="n"/>
      <c r="O113" s="110" t="n"/>
      <c r="P113" s="110" t="n"/>
      <c r="Q113" s="110" t="n"/>
      <c r="R113" s="110" t="n"/>
      <c r="S113" s="110" t="n"/>
      <c r="T113" s="111" t="n"/>
      <c r="U113" s="194" t="n"/>
      <c r="V113" s="194" t="n"/>
      <c r="W113" s="194" t="n"/>
      <c r="X113" s="194" t="n"/>
      <c r="Y113" s="194" t="n"/>
      <c r="Z113" s="194" t="n"/>
      <c r="AA113" s="194" t="n"/>
      <c r="AB113" s="194" t="n"/>
      <c r="AC113" s="194" t="n"/>
      <c r="AD113" s="194" t="n"/>
      <c r="AE113" s="194" t="n"/>
      <c r="AF113" s="194" t="n"/>
      <c r="AG113" s="194" t="n"/>
      <c r="AH113" s="194" t="n"/>
      <c r="AI113" s="194" t="n"/>
      <c r="AJ113" s="194" t="n"/>
    </row>
    <row r="114" ht="12" customHeight="1" s="1">
      <c r="A114" s="194" t="n"/>
      <c r="B114" s="194" t="n"/>
      <c r="C114" s="194" t="n"/>
      <c r="D114" s="194" t="n"/>
      <c r="E114" s="194" t="n"/>
      <c r="F114" s="194" t="n"/>
      <c r="G114" s="194" t="n"/>
      <c r="H114" s="109" t="n"/>
      <c r="I114" s="110" t="n"/>
      <c r="J114" s="110" t="n"/>
      <c r="K114" s="110" t="n"/>
      <c r="L114" s="110" t="n"/>
      <c r="M114" s="110" t="n"/>
      <c r="N114" s="110" t="n"/>
      <c r="O114" s="110" t="n"/>
      <c r="P114" s="110" t="n"/>
      <c r="Q114" s="110" t="n"/>
      <c r="R114" s="110" t="n"/>
      <c r="S114" s="110" t="n"/>
      <c r="T114" s="111" t="n"/>
      <c r="U114" s="194" t="n"/>
      <c r="V114" s="194" t="n"/>
      <c r="W114" s="194" t="n"/>
      <c r="X114" s="194" t="n"/>
      <c r="Y114" s="194" t="n"/>
      <c r="Z114" s="194" t="n"/>
      <c r="AA114" s="194" t="n"/>
      <c r="AB114" s="194" t="n"/>
      <c r="AC114" s="194" t="n"/>
      <c r="AD114" s="194" t="n"/>
      <c r="AE114" s="194" t="n"/>
      <c r="AF114" s="194" t="n"/>
      <c r="AG114" s="194" t="n"/>
      <c r="AH114" s="194" t="n"/>
      <c r="AI114" s="194" t="n"/>
      <c r="AJ114" s="194" t="n"/>
    </row>
    <row r="115" ht="12" customHeight="1" s="1">
      <c r="A115" s="194" t="n"/>
      <c r="B115" s="194" t="n"/>
      <c r="C115" s="194" t="n"/>
      <c r="D115" s="194" t="n"/>
      <c r="E115" s="194" t="n"/>
      <c r="F115" s="194" t="n"/>
      <c r="G115" s="194" t="n"/>
      <c r="H115" s="109" t="n"/>
      <c r="I115" s="110" t="n"/>
      <c r="J115" s="110" t="n"/>
      <c r="K115" s="110" t="n"/>
      <c r="L115" s="110" t="n"/>
      <c r="M115" s="110" t="n"/>
      <c r="N115" s="110" t="n"/>
      <c r="O115" s="110" t="n"/>
      <c r="P115" s="110" t="n"/>
      <c r="Q115" s="110" t="n"/>
      <c r="R115" s="110" t="n"/>
      <c r="S115" s="110" t="n"/>
      <c r="T115" s="111" t="n"/>
      <c r="U115" s="194" t="n"/>
      <c r="V115" s="194" t="n"/>
      <c r="W115" s="194" t="n"/>
      <c r="X115" s="194" t="n"/>
      <c r="Y115" s="194" t="n"/>
      <c r="Z115" s="194" t="n"/>
      <c r="AA115" s="194" t="n"/>
      <c r="AB115" s="194" t="n"/>
      <c r="AC115" s="194" t="n"/>
      <c r="AD115" s="194" t="n"/>
      <c r="AE115" s="194" t="n"/>
      <c r="AF115" s="194" t="n"/>
      <c r="AG115" s="194" t="n"/>
      <c r="AH115" s="194" t="n"/>
      <c r="AI115" s="194" t="n"/>
      <c r="AJ115" s="194" t="n"/>
    </row>
    <row r="116" ht="12" customHeight="1" s="1">
      <c r="A116" s="194" t="n"/>
      <c r="B116" s="194" t="n"/>
      <c r="C116" s="194" t="n"/>
      <c r="D116" s="194" t="n"/>
      <c r="E116" s="194" t="n"/>
      <c r="F116" s="194" t="n"/>
      <c r="G116" s="194" t="n"/>
      <c r="H116" s="109" t="n"/>
      <c r="I116" s="110" t="n"/>
      <c r="J116" s="110" t="n"/>
      <c r="K116" s="110" t="n"/>
      <c r="L116" s="110" t="n"/>
      <c r="M116" s="110" t="n"/>
      <c r="N116" s="110" t="n"/>
      <c r="O116" s="110" t="n"/>
      <c r="P116" s="110" t="n"/>
      <c r="Q116" s="110" t="n"/>
      <c r="R116" s="110" t="n"/>
      <c r="S116" s="110" t="n"/>
      <c r="T116" s="111" t="n"/>
      <c r="U116" s="194" t="n"/>
      <c r="V116" s="194" t="n"/>
      <c r="W116" s="194" t="n"/>
      <c r="X116" s="194" t="n"/>
      <c r="Y116" s="194" t="n"/>
      <c r="Z116" s="194" t="n"/>
      <c r="AA116" s="194" t="n"/>
      <c r="AB116" s="194" t="n"/>
      <c r="AC116" s="194" t="n"/>
      <c r="AD116" s="194" t="n"/>
      <c r="AE116" s="194" t="n"/>
      <c r="AF116" s="194" t="n"/>
      <c r="AG116" s="194" t="n"/>
      <c r="AH116" s="194" t="n"/>
      <c r="AI116" s="194" t="n"/>
      <c r="AJ116" s="194" t="n"/>
    </row>
    <row r="117" ht="12" customHeight="1" s="1">
      <c r="A117" s="194" t="n"/>
      <c r="B117" s="194" t="n"/>
      <c r="C117" s="194" t="n"/>
      <c r="D117" s="194" t="n"/>
      <c r="E117" s="194" t="n"/>
      <c r="F117" s="194" t="n"/>
      <c r="G117" s="194" t="n"/>
      <c r="H117" s="109" t="n"/>
      <c r="I117" s="110" t="n"/>
      <c r="J117" s="110" t="n"/>
      <c r="K117" s="110" t="n"/>
      <c r="L117" s="110" t="n"/>
      <c r="M117" s="110" t="n"/>
      <c r="N117" s="110" t="n"/>
      <c r="O117" s="110" t="n"/>
      <c r="P117" s="110" t="n"/>
      <c r="Q117" s="110" t="n"/>
      <c r="R117" s="110" t="n"/>
      <c r="S117" s="110" t="n"/>
      <c r="T117" s="111" t="n"/>
      <c r="U117" s="194" t="n"/>
      <c r="V117" s="194" t="n"/>
      <c r="W117" s="194" t="n"/>
      <c r="X117" s="194" t="n"/>
      <c r="Y117" s="194" t="n"/>
      <c r="Z117" s="194" t="n"/>
      <c r="AA117" s="194" t="n"/>
      <c r="AB117" s="194" t="n"/>
      <c r="AC117" s="194" t="n"/>
      <c r="AD117" s="194" t="n"/>
      <c r="AE117" s="194" t="n"/>
      <c r="AF117" s="194" t="n"/>
      <c r="AG117" s="194" t="n"/>
      <c r="AH117" s="194" t="n"/>
      <c r="AI117" s="194" t="n"/>
      <c r="AJ117" s="194" t="n"/>
    </row>
    <row r="118" ht="12" customHeight="1" s="1">
      <c r="A118" s="194" t="n"/>
      <c r="B118" s="194" t="n"/>
      <c r="C118" s="194" t="n"/>
      <c r="D118" s="194" t="n"/>
      <c r="E118" s="194" t="n"/>
      <c r="F118" s="194" t="n"/>
      <c r="G118" s="194" t="n"/>
      <c r="H118" s="109" t="n"/>
      <c r="I118" s="110" t="n"/>
      <c r="J118" s="110" t="n"/>
      <c r="K118" s="110" t="n"/>
      <c r="L118" s="110" t="n"/>
      <c r="M118" s="110" t="n"/>
      <c r="N118" s="110" t="n"/>
      <c r="O118" s="110" t="n"/>
      <c r="P118" s="110" t="n"/>
      <c r="Q118" s="110" t="n"/>
      <c r="R118" s="110" t="n"/>
      <c r="S118" s="110" t="n"/>
      <c r="T118" s="111" t="n"/>
      <c r="U118" s="194" t="n"/>
      <c r="V118" s="194" t="n"/>
      <c r="W118" s="194" t="n"/>
      <c r="X118" s="194" t="n"/>
      <c r="Y118" s="194" t="n"/>
      <c r="Z118" s="194" t="n"/>
      <c r="AA118" s="194" t="n"/>
      <c r="AB118" s="194" t="n"/>
      <c r="AC118" s="194" t="n"/>
      <c r="AD118" s="194" t="n"/>
      <c r="AE118" s="194" t="n"/>
      <c r="AF118" s="194" t="n"/>
      <c r="AG118" s="194" t="n"/>
      <c r="AH118" s="194" t="n"/>
      <c r="AI118" s="194" t="n"/>
      <c r="AJ118" s="194" t="n"/>
    </row>
    <row r="119" ht="12" customHeight="1" s="1">
      <c r="A119" s="194" t="n"/>
      <c r="B119" s="194" t="n"/>
      <c r="C119" s="194" t="n"/>
      <c r="D119" s="194" t="n"/>
      <c r="E119" s="194" t="n"/>
      <c r="F119" s="194" t="n"/>
      <c r="G119" s="194" t="n"/>
      <c r="H119" s="109" t="n"/>
      <c r="I119" s="110" t="n"/>
      <c r="J119" s="110" t="n"/>
      <c r="K119" s="110" t="n"/>
      <c r="L119" s="110" t="n"/>
      <c r="M119" s="110" t="n"/>
      <c r="N119" s="110" t="n"/>
      <c r="O119" s="110" t="n"/>
      <c r="P119" s="110" t="n"/>
      <c r="Q119" s="110" t="n"/>
      <c r="R119" s="110" t="n"/>
      <c r="S119" s="110" t="n"/>
      <c r="T119" s="111" t="n"/>
      <c r="U119" s="194" t="n"/>
      <c r="V119" s="194" t="n"/>
      <c r="W119" s="194" t="n"/>
      <c r="X119" s="194" t="n"/>
      <c r="Y119" s="194" t="n"/>
      <c r="Z119" s="194" t="n"/>
      <c r="AA119" s="194" t="n"/>
      <c r="AB119" s="194" t="n"/>
      <c r="AC119" s="194" t="n"/>
      <c r="AD119" s="194" t="n"/>
      <c r="AE119" s="194" t="n"/>
      <c r="AF119" s="194" t="n"/>
      <c r="AG119" s="194" t="n"/>
      <c r="AH119" s="194" t="n"/>
      <c r="AI119" s="194" t="n"/>
      <c r="AJ119" s="194" t="n"/>
    </row>
    <row r="120" ht="12" customHeight="1" s="1">
      <c r="A120" s="194" t="n"/>
      <c r="B120" s="194" t="n"/>
      <c r="C120" s="194" t="n"/>
      <c r="D120" s="194" t="n"/>
      <c r="E120" s="194" t="n"/>
      <c r="F120" s="194" t="n"/>
      <c r="G120" s="194" t="n"/>
      <c r="H120" s="109" t="n"/>
      <c r="I120" s="110" t="n"/>
      <c r="J120" s="110" t="n"/>
      <c r="K120" s="110" t="n"/>
      <c r="L120" s="110" t="n"/>
      <c r="M120" s="110" t="n"/>
      <c r="N120" s="110" t="n"/>
      <c r="O120" s="110" t="n"/>
      <c r="P120" s="110" t="n"/>
      <c r="Q120" s="110" t="n"/>
      <c r="R120" s="110" t="n"/>
      <c r="S120" s="110" t="n"/>
      <c r="T120" s="111" t="n"/>
      <c r="U120" s="194" t="n"/>
      <c r="V120" s="194" t="n"/>
      <c r="W120" s="194" t="n"/>
      <c r="X120" s="194" t="n"/>
      <c r="Y120" s="194" t="n"/>
      <c r="Z120" s="194" t="n"/>
      <c r="AA120" s="194" t="n"/>
      <c r="AB120" s="194" t="n"/>
      <c r="AC120" s="194" t="n"/>
      <c r="AD120" s="194" t="n"/>
      <c r="AE120" s="194" t="n"/>
      <c r="AF120" s="194" t="n"/>
      <c r="AG120" s="194" t="n"/>
      <c r="AH120" s="194" t="n"/>
      <c r="AI120" s="194" t="n"/>
      <c r="AJ120" s="194" t="n"/>
    </row>
    <row r="121" ht="12" customHeight="1" s="1">
      <c r="A121" s="194" t="n"/>
      <c r="B121" s="194" t="n"/>
      <c r="C121" s="194" t="n"/>
      <c r="D121" s="194" t="n"/>
      <c r="E121" s="194" t="n"/>
      <c r="F121" s="194" t="n"/>
      <c r="G121" s="194" t="n"/>
      <c r="H121" s="109" t="n"/>
      <c r="I121" s="110" t="n"/>
      <c r="J121" s="110" t="n"/>
      <c r="K121" s="110" t="n"/>
      <c r="L121" s="110" t="n"/>
      <c r="M121" s="110" t="n"/>
      <c r="N121" s="110" t="n"/>
      <c r="O121" s="110" t="n"/>
      <c r="P121" s="110" t="n"/>
      <c r="Q121" s="110" t="n"/>
      <c r="R121" s="110" t="n"/>
      <c r="S121" s="110" t="n"/>
      <c r="T121" s="111" t="n"/>
      <c r="U121" s="194" t="n"/>
      <c r="V121" s="194" t="n"/>
      <c r="W121" s="194" t="n"/>
      <c r="X121" s="194" t="n"/>
      <c r="Y121" s="194" t="n"/>
      <c r="Z121" s="194" t="n"/>
      <c r="AA121" s="194" t="n"/>
      <c r="AB121" s="194" t="n"/>
      <c r="AC121" s="194" t="n"/>
      <c r="AD121" s="194" t="n"/>
      <c r="AE121" s="194" t="n"/>
      <c r="AF121" s="194" t="n"/>
      <c r="AG121" s="194" t="n"/>
      <c r="AH121" s="194" t="n"/>
      <c r="AI121" s="194" t="n"/>
      <c r="AJ121" s="194" t="n"/>
    </row>
    <row r="122" ht="12" customHeight="1" s="1">
      <c r="A122" s="194" t="n"/>
      <c r="B122" s="194" t="n"/>
      <c r="C122" s="194" t="n"/>
      <c r="D122" s="194" t="n"/>
      <c r="E122" s="194" t="n"/>
      <c r="F122" s="194" t="n"/>
      <c r="G122" s="194" t="n"/>
      <c r="H122" s="109" t="n"/>
      <c r="I122" s="110" t="n"/>
      <c r="J122" s="110" t="n"/>
      <c r="K122" s="110" t="n"/>
      <c r="L122" s="110" t="n"/>
      <c r="M122" s="110" t="n"/>
      <c r="N122" s="110" t="n"/>
      <c r="O122" s="110" t="n"/>
      <c r="P122" s="110" t="n"/>
      <c r="Q122" s="110" t="n"/>
      <c r="R122" s="110" t="n"/>
      <c r="S122" s="110" t="n"/>
      <c r="T122" s="111" t="n"/>
      <c r="U122" s="194" t="n"/>
      <c r="V122" s="194" t="n"/>
      <c r="W122" s="194" t="n"/>
      <c r="X122" s="194" t="n"/>
      <c r="Y122" s="194" t="n"/>
      <c r="Z122" s="194" t="n"/>
      <c r="AA122" s="194" t="n"/>
      <c r="AB122" s="194" t="n"/>
      <c r="AC122" s="194" t="n"/>
      <c r="AD122" s="194" t="n"/>
      <c r="AE122" s="194" t="n"/>
      <c r="AF122" s="194" t="n"/>
      <c r="AG122" s="194" t="n"/>
      <c r="AH122" s="194" t="n"/>
      <c r="AI122" s="194" t="n"/>
      <c r="AJ122" s="194" t="n"/>
    </row>
    <row r="123" ht="12" customHeight="1" s="1">
      <c r="A123" s="194" t="n"/>
      <c r="B123" s="194" t="n"/>
      <c r="C123" s="194" t="n"/>
      <c r="D123" s="194" t="n"/>
      <c r="E123" s="194" t="n"/>
      <c r="F123" s="194" t="n"/>
      <c r="G123" s="194" t="n"/>
      <c r="H123" s="109" t="n"/>
      <c r="I123" s="110" t="n"/>
      <c r="J123" s="110" t="n"/>
      <c r="K123" s="110" t="n"/>
      <c r="L123" s="110" t="n"/>
      <c r="M123" s="110" t="n"/>
      <c r="N123" s="110" t="n"/>
      <c r="O123" s="110" t="n"/>
      <c r="P123" s="110" t="n"/>
      <c r="Q123" s="110" t="n"/>
      <c r="R123" s="110" t="n"/>
      <c r="S123" s="110" t="n"/>
      <c r="T123" s="111" t="n"/>
      <c r="U123" s="194" t="n"/>
      <c r="V123" s="194" t="n"/>
      <c r="W123" s="194" t="n"/>
      <c r="X123" s="194" t="n"/>
      <c r="Y123" s="194" t="n"/>
      <c r="Z123" s="194" t="n"/>
      <c r="AA123" s="194" t="n"/>
      <c r="AB123" s="194" t="n"/>
      <c r="AC123" s="194" t="n"/>
      <c r="AD123" s="194" t="n"/>
      <c r="AE123" s="194" t="n"/>
      <c r="AF123" s="194" t="n"/>
      <c r="AG123" s="194" t="n"/>
      <c r="AH123" s="194" t="n"/>
      <c r="AI123" s="194" t="n"/>
      <c r="AJ123" s="194" t="n"/>
    </row>
    <row r="124" ht="12" customHeight="1" s="1">
      <c r="A124" s="194" t="n"/>
      <c r="B124" s="194" t="n"/>
      <c r="C124" s="194" t="n"/>
      <c r="D124" s="194" t="n"/>
      <c r="E124" s="194" t="n"/>
      <c r="F124" s="194" t="n"/>
      <c r="G124" s="194" t="n"/>
      <c r="H124" s="109" t="n"/>
      <c r="I124" s="110" t="n"/>
      <c r="J124" s="110" t="n"/>
      <c r="K124" s="110" t="n"/>
      <c r="L124" s="110" t="n"/>
      <c r="M124" s="110" t="n"/>
      <c r="N124" s="110" t="n"/>
      <c r="O124" s="110" t="n"/>
      <c r="P124" s="110" t="n"/>
      <c r="Q124" s="110" t="n"/>
      <c r="R124" s="110" t="n"/>
      <c r="S124" s="110" t="n"/>
      <c r="T124" s="111" t="n"/>
      <c r="U124" s="194" t="n"/>
      <c r="V124" s="194" t="n"/>
      <c r="W124" s="194" t="n"/>
      <c r="X124" s="194" t="n"/>
      <c r="Y124" s="194" t="n"/>
      <c r="Z124" s="194" t="n"/>
      <c r="AA124" s="194" t="n"/>
      <c r="AB124" s="194" t="n"/>
      <c r="AC124" s="194" t="n"/>
      <c r="AD124" s="194" t="n"/>
      <c r="AE124" s="194" t="n"/>
      <c r="AF124" s="194" t="n"/>
      <c r="AG124" s="194" t="n"/>
      <c r="AH124" s="194" t="n"/>
      <c r="AI124" s="194" t="n"/>
      <c r="AJ124" s="194" t="n"/>
    </row>
    <row r="125" ht="12" customHeight="1" s="1">
      <c r="A125" s="194" t="n"/>
      <c r="B125" s="194" t="n"/>
      <c r="C125" s="194" t="n"/>
      <c r="D125" s="194" t="n"/>
      <c r="E125" s="194" t="n"/>
      <c r="F125" s="194" t="n"/>
      <c r="G125" s="194" t="n"/>
      <c r="H125" s="109" t="n"/>
      <c r="I125" s="110" t="n"/>
      <c r="J125" s="110" t="n"/>
      <c r="K125" s="110" t="n"/>
      <c r="L125" s="110" t="n"/>
      <c r="M125" s="110" t="n"/>
      <c r="N125" s="110" t="n"/>
      <c r="O125" s="110" t="n"/>
      <c r="P125" s="110" t="n"/>
      <c r="Q125" s="110" t="n"/>
      <c r="R125" s="110" t="n"/>
      <c r="S125" s="110" t="n"/>
      <c r="T125" s="111" t="n"/>
      <c r="U125" s="194" t="n"/>
      <c r="V125" s="194" t="n"/>
      <c r="W125" s="194" t="n"/>
      <c r="X125" s="194" t="n"/>
      <c r="Y125" s="194" t="n"/>
      <c r="Z125" s="194" t="n"/>
      <c r="AA125" s="194" t="n"/>
      <c r="AB125" s="194" t="n"/>
      <c r="AC125" s="194" t="n"/>
      <c r="AD125" s="194" t="n"/>
      <c r="AE125" s="194" t="n"/>
      <c r="AF125" s="194" t="n"/>
      <c r="AG125" s="194" t="n"/>
      <c r="AH125" s="194" t="n"/>
      <c r="AI125" s="194" t="n"/>
      <c r="AJ125" s="194" t="n"/>
    </row>
    <row r="126" ht="12" customHeight="1" s="1">
      <c r="A126" s="194" t="n"/>
      <c r="B126" s="194" t="n"/>
      <c r="C126" s="194" t="n"/>
      <c r="D126" s="194" t="n"/>
      <c r="E126" s="194" t="n"/>
      <c r="F126" s="194" t="n"/>
      <c r="G126" s="194" t="n"/>
      <c r="H126" s="109" t="n"/>
      <c r="I126" s="110" t="n"/>
      <c r="J126" s="110" t="n"/>
      <c r="K126" s="110" t="n"/>
      <c r="L126" s="110" t="n"/>
      <c r="M126" s="110" t="n"/>
      <c r="N126" s="110" t="n"/>
      <c r="O126" s="110" t="n"/>
      <c r="P126" s="110" t="n"/>
      <c r="Q126" s="110" t="n"/>
      <c r="R126" s="110" t="n"/>
      <c r="S126" s="110" t="n"/>
      <c r="T126" s="111" t="n"/>
      <c r="U126" s="194" t="n"/>
      <c r="V126" s="194" t="n"/>
      <c r="W126" s="194" t="n"/>
      <c r="X126" s="194" t="n"/>
      <c r="Y126" s="194" t="n"/>
      <c r="Z126" s="194" t="n"/>
      <c r="AA126" s="194" t="n"/>
      <c r="AB126" s="194" t="n"/>
      <c r="AC126" s="194" t="n"/>
      <c r="AD126" s="194" t="n"/>
      <c r="AE126" s="194" t="n"/>
      <c r="AF126" s="194" t="n"/>
      <c r="AG126" s="194" t="n"/>
      <c r="AH126" s="194" t="n"/>
      <c r="AI126" s="194" t="n"/>
      <c r="AJ126" s="194" t="n"/>
    </row>
    <row r="127" ht="12" customHeight="1" s="1">
      <c r="A127" s="194" t="n"/>
      <c r="B127" s="194" t="n"/>
      <c r="C127" s="194" t="n"/>
      <c r="D127" s="194" t="n"/>
      <c r="E127" s="194" t="n"/>
      <c r="F127" s="194" t="n"/>
      <c r="G127" s="194" t="n"/>
      <c r="H127" s="109" t="n"/>
      <c r="I127" s="110" t="n"/>
      <c r="J127" s="110" t="n"/>
      <c r="K127" s="110" t="n"/>
      <c r="L127" s="110" t="n"/>
      <c r="M127" s="110" t="n"/>
      <c r="N127" s="110" t="n"/>
      <c r="O127" s="110" t="n"/>
      <c r="P127" s="110" t="n"/>
      <c r="Q127" s="110" t="n"/>
      <c r="R127" s="110" t="n"/>
      <c r="S127" s="110" t="n"/>
      <c r="T127" s="111" t="n"/>
      <c r="U127" s="194" t="n"/>
      <c r="V127" s="194" t="n"/>
      <c r="W127" s="194" t="n"/>
      <c r="X127" s="194" t="n"/>
      <c r="Y127" s="194" t="n"/>
      <c r="Z127" s="194" t="n"/>
      <c r="AA127" s="194" t="n"/>
      <c r="AB127" s="194" t="n"/>
      <c r="AC127" s="194" t="n"/>
      <c r="AD127" s="194" t="n"/>
      <c r="AE127" s="194" t="n"/>
      <c r="AF127" s="194" t="n"/>
      <c r="AG127" s="194" t="n"/>
      <c r="AH127" s="194" t="n"/>
      <c r="AI127" s="194" t="n"/>
      <c r="AJ127" s="194" t="n"/>
    </row>
    <row r="128" ht="12" customHeight="1" s="1">
      <c r="A128" s="194" t="n"/>
      <c r="B128" s="194" t="n"/>
      <c r="C128" s="194" t="n"/>
      <c r="D128" s="194" t="n"/>
      <c r="E128" s="194" t="n"/>
      <c r="F128" s="194" t="n"/>
      <c r="G128" s="194" t="n"/>
      <c r="H128" s="109" t="n"/>
      <c r="I128" s="110" t="n"/>
      <c r="J128" s="110" t="n"/>
      <c r="K128" s="110" t="n"/>
      <c r="L128" s="110" t="n"/>
      <c r="M128" s="110" t="n"/>
      <c r="N128" s="110" t="n"/>
      <c r="O128" s="110" t="n"/>
      <c r="P128" s="110" t="n"/>
      <c r="Q128" s="110" t="n"/>
      <c r="R128" s="110" t="n"/>
      <c r="S128" s="110" t="n"/>
      <c r="T128" s="111" t="n"/>
      <c r="U128" s="194" t="n"/>
      <c r="V128" s="194" t="n"/>
      <c r="W128" s="194" t="n"/>
      <c r="X128" s="194" t="n"/>
      <c r="Y128" s="194" t="n"/>
      <c r="Z128" s="194" t="n"/>
      <c r="AA128" s="194" t="n"/>
      <c r="AB128" s="194" t="n"/>
      <c r="AC128" s="194" t="n"/>
      <c r="AD128" s="194" t="n"/>
      <c r="AE128" s="194" t="n"/>
      <c r="AF128" s="194" t="n"/>
      <c r="AG128" s="194" t="n"/>
      <c r="AH128" s="194" t="n"/>
      <c r="AI128" s="194" t="n"/>
      <c r="AJ128" s="194" t="n"/>
    </row>
    <row r="129" ht="12" customHeight="1" s="1">
      <c r="A129" s="194" t="n"/>
      <c r="B129" s="194" t="n"/>
      <c r="C129" s="194" t="n"/>
      <c r="D129" s="194" t="n"/>
      <c r="E129" s="194" t="n"/>
      <c r="F129" s="194" t="n"/>
      <c r="G129" s="194" t="n"/>
      <c r="H129" s="109" t="n"/>
      <c r="I129" s="110" t="n"/>
      <c r="J129" s="110" t="n"/>
      <c r="K129" s="110" t="n"/>
      <c r="L129" s="110" t="n"/>
      <c r="M129" s="110" t="n"/>
      <c r="N129" s="110" t="n"/>
      <c r="O129" s="110" t="n"/>
      <c r="P129" s="110" t="n"/>
      <c r="Q129" s="110" t="n"/>
      <c r="R129" s="110" t="n"/>
      <c r="S129" s="110" t="n"/>
      <c r="T129" s="111" t="n"/>
      <c r="U129" s="194" t="n"/>
      <c r="V129" s="194" t="n"/>
      <c r="W129" s="194" t="n"/>
      <c r="X129" s="194" t="n"/>
      <c r="Y129" s="194" t="n"/>
      <c r="Z129" s="194" t="n"/>
      <c r="AA129" s="194" t="n"/>
      <c r="AB129" s="194" t="n"/>
      <c r="AC129" s="194" t="n"/>
      <c r="AD129" s="194" t="n"/>
      <c r="AE129" s="194" t="n"/>
      <c r="AF129" s="194" t="n"/>
      <c r="AG129" s="194" t="n"/>
      <c r="AH129" s="194" t="n"/>
      <c r="AI129" s="194" t="n"/>
      <c r="AJ129" s="194" t="n"/>
    </row>
    <row r="130" ht="12" customHeight="1" s="1">
      <c r="A130" s="194" t="n"/>
      <c r="B130" s="194" t="n"/>
      <c r="C130" s="194" t="n"/>
      <c r="D130" s="194" t="n"/>
      <c r="E130" s="194" t="n"/>
      <c r="F130" s="194" t="n"/>
      <c r="G130" s="194" t="n"/>
      <c r="H130" s="109" t="n"/>
      <c r="I130" s="110" t="n"/>
      <c r="J130" s="110" t="n"/>
      <c r="K130" s="110" t="n"/>
      <c r="L130" s="110" t="n"/>
      <c r="M130" s="110" t="n"/>
      <c r="N130" s="110" t="n"/>
      <c r="O130" s="110" t="n"/>
      <c r="P130" s="110" t="n"/>
      <c r="Q130" s="110" t="n"/>
      <c r="R130" s="110" t="n"/>
      <c r="S130" s="110" t="n"/>
      <c r="T130" s="111" t="n"/>
      <c r="U130" s="194" t="n"/>
      <c r="V130" s="194" t="n"/>
      <c r="W130" s="194" t="n"/>
      <c r="X130" s="194" t="n"/>
      <c r="Y130" s="194" t="n"/>
      <c r="Z130" s="194" t="n"/>
      <c r="AA130" s="194" t="n"/>
      <c r="AB130" s="194" t="n"/>
      <c r="AC130" s="194" t="n"/>
      <c r="AD130" s="194" t="n"/>
      <c r="AE130" s="194" t="n"/>
      <c r="AF130" s="194" t="n"/>
      <c r="AG130" s="194" t="n"/>
      <c r="AH130" s="194" t="n"/>
      <c r="AI130" s="194" t="n"/>
      <c r="AJ130" s="194" t="n"/>
    </row>
    <row r="131" ht="12" customHeight="1" s="1">
      <c r="A131" s="194" t="n"/>
      <c r="B131" s="194" t="n"/>
      <c r="C131" s="194" t="n"/>
      <c r="D131" s="194" t="n"/>
      <c r="E131" s="194" t="n"/>
      <c r="F131" s="194" t="n"/>
      <c r="G131" s="194" t="n"/>
      <c r="H131" s="109" t="n"/>
      <c r="I131" s="110" t="n"/>
      <c r="J131" s="110" t="n"/>
      <c r="K131" s="110" t="n"/>
      <c r="L131" s="110" t="n"/>
      <c r="M131" s="110" t="n"/>
      <c r="N131" s="110" t="n"/>
      <c r="O131" s="110" t="n"/>
      <c r="P131" s="110" t="n"/>
      <c r="Q131" s="110" t="n"/>
      <c r="R131" s="110" t="n"/>
      <c r="S131" s="110" t="n"/>
      <c r="T131" s="111" t="n"/>
      <c r="U131" s="194" t="n"/>
      <c r="V131" s="194" t="n"/>
      <c r="W131" s="194" t="n"/>
      <c r="X131" s="194" t="n"/>
      <c r="Y131" s="194" t="n"/>
      <c r="Z131" s="194" t="n"/>
      <c r="AA131" s="194" t="n"/>
      <c r="AB131" s="194" t="n"/>
      <c r="AC131" s="194" t="n"/>
      <c r="AD131" s="194" t="n"/>
      <c r="AE131" s="194" t="n"/>
      <c r="AF131" s="194" t="n"/>
      <c r="AG131" s="194" t="n"/>
      <c r="AH131" s="194" t="n"/>
      <c r="AI131" s="194" t="n"/>
      <c r="AJ131" s="194" t="n"/>
    </row>
    <row r="132" ht="12" customHeight="1" s="1">
      <c r="A132" s="194" t="n"/>
      <c r="B132" s="194" t="n"/>
      <c r="C132" s="194" t="n"/>
      <c r="D132" s="194" t="n"/>
      <c r="E132" s="194" t="n"/>
      <c r="F132" s="194" t="n"/>
      <c r="G132" s="194" t="n"/>
      <c r="H132" s="109" t="n"/>
      <c r="I132" s="110" t="n"/>
      <c r="J132" s="110" t="n"/>
      <c r="K132" s="110" t="n"/>
      <c r="L132" s="110" t="n"/>
      <c r="M132" s="110" t="n"/>
      <c r="N132" s="110" t="n"/>
      <c r="O132" s="110" t="n"/>
      <c r="P132" s="110" t="n"/>
      <c r="Q132" s="110" t="n"/>
      <c r="R132" s="110" t="n"/>
      <c r="S132" s="110" t="n"/>
      <c r="T132" s="111" t="n"/>
      <c r="U132" s="194" t="n"/>
      <c r="V132" s="194" t="n"/>
      <c r="W132" s="194" t="n"/>
      <c r="X132" s="194" t="n"/>
      <c r="Y132" s="194" t="n"/>
      <c r="Z132" s="194" t="n"/>
      <c r="AA132" s="194" t="n"/>
      <c r="AB132" s="194" t="n"/>
      <c r="AC132" s="194" t="n"/>
      <c r="AD132" s="194" t="n"/>
      <c r="AE132" s="194" t="n"/>
      <c r="AF132" s="194" t="n"/>
      <c r="AG132" s="194" t="n"/>
      <c r="AH132" s="194" t="n"/>
      <c r="AI132" s="194" t="n"/>
      <c r="AJ132" s="194" t="n"/>
    </row>
    <row r="133" ht="12" customHeight="1" s="1">
      <c r="A133" s="194" t="n"/>
      <c r="B133" s="194" t="n"/>
      <c r="C133" s="194" t="n"/>
      <c r="D133" s="194" t="n"/>
      <c r="E133" s="194" t="n"/>
      <c r="F133" s="194" t="n"/>
      <c r="G133" s="194" t="n"/>
      <c r="H133" s="109" t="n"/>
      <c r="I133" s="110" t="n"/>
      <c r="J133" s="110" t="n"/>
      <c r="K133" s="110" t="n"/>
      <c r="L133" s="110" t="n"/>
      <c r="M133" s="110" t="n"/>
      <c r="N133" s="110" t="n"/>
      <c r="O133" s="110" t="n"/>
      <c r="P133" s="110" t="n"/>
      <c r="Q133" s="110" t="n"/>
      <c r="R133" s="110" t="n"/>
      <c r="S133" s="110" t="n"/>
      <c r="T133" s="111" t="n"/>
      <c r="U133" s="194" t="n"/>
      <c r="V133" s="194" t="n"/>
      <c r="W133" s="194" t="n"/>
      <c r="X133" s="194" t="n"/>
      <c r="Y133" s="194" t="n"/>
      <c r="Z133" s="194" t="n"/>
      <c r="AA133" s="194" t="n"/>
      <c r="AB133" s="194" t="n"/>
      <c r="AC133" s="194" t="n"/>
      <c r="AD133" s="194" t="n"/>
      <c r="AE133" s="194" t="n"/>
      <c r="AF133" s="194" t="n"/>
      <c r="AG133" s="194" t="n"/>
      <c r="AH133" s="194" t="n"/>
      <c r="AI133" s="194" t="n"/>
      <c r="AJ133" s="194" t="n"/>
    </row>
    <row r="134" ht="12" customHeight="1" s="1">
      <c r="A134" s="194" t="n"/>
      <c r="B134" s="194" t="n"/>
      <c r="C134" s="194" t="n"/>
      <c r="D134" s="194" t="n"/>
      <c r="E134" s="194" t="n"/>
      <c r="F134" s="194" t="n"/>
      <c r="G134" s="194" t="n"/>
      <c r="H134" s="109" t="n"/>
      <c r="I134" s="110" t="n"/>
      <c r="J134" s="110" t="n"/>
      <c r="K134" s="110" t="n"/>
      <c r="L134" s="110" t="n"/>
      <c r="M134" s="110" t="n"/>
      <c r="N134" s="110" t="n"/>
      <c r="O134" s="110" t="n"/>
      <c r="P134" s="110" t="n"/>
      <c r="Q134" s="110" t="n"/>
      <c r="R134" s="110" t="n"/>
      <c r="S134" s="110" t="n"/>
      <c r="T134" s="111" t="n"/>
      <c r="U134" s="194" t="n"/>
      <c r="V134" s="194" t="n"/>
      <c r="W134" s="194" t="n"/>
      <c r="X134" s="194" t="n"/>
      <c r="Y134" s="194" t="n"/>
      <c r="Z134" s="194" t="n"/>
      <c r="AA134" s="194" t="n"/>
      <c r="AB134" s="194" t="n"/>
      <c r="AC134" s="194" t="n"/>
      <c r="AD134" s="194" t="n"/>
      <c r="AE134" s="194" t="n"/>
      <c r="AF134" s="194" t="n"/>
      <c r="AG134" s="194" t="n"/>
      <c r="AH134" s="194" t="n"/>
      <c r="AI134" s="194" t="n"/>
      <c r="AJ134" s="194" t="n"/>
    </row>
    <row r="135" ht="12" customHeight="1" s="1">
      <c r="A135" s="194" t="n"/>
      <c r="B135" s="194" t="n"/>
      <c r="C135" s="194" t="n"/>
      <c r="D135" s="194" t="n"/>
      <c r="E135" s="194" t="n"/>
      <c r="F135" s="194" t="n"/>
      <c r="G135" s="194" t="n"/>
      <c r="H135" s="109" t="n"/>
      <c r="I135" s="110" t="n"/>
      <c r="J135" s="110" t="n"/>
      <c r="K135" s="110" t="n"/>
      <c r="L135" s="110" t="n"/>
      <c r="M135" s="110" t="n"/>
      <c r="N135" s="110" t="n"/>
      <c r="O135" s="110" t="n"/>
      <c r="P135" s="110" t="n"/>
      <c r="Q135" s="110" t="n"/>
      <c r="R135" s="110" t="n"/>
      <c r="S135" s="110" t="n"/>
      <c r="T135" s="111" t="n"/>
      <c r="U135" s="194" t="n"/>
      <c r="V135" s="194" t="n"/>
      <c r="W135" s="194" t="n"/>
      <c r="X135" s="194" t="n"/>
      <c r="Y135" s="194" t="n"/>
      <c r="Z135" s="194" t="n"/>
      <c r="AA135" s="194" t="n"/>
      <c r="AB135" s="194" t="n"/>
      <c r="AC135" s="194" t="n"/>
      <c r="AD135" s="194" t="n"/>
      <c r="AE135" s="194" t="n"/>
      <c r="AF135" s="194" t="n"/>
      <c r="AG135" s="194" t="n"/>
      <c r="AH135" s="194" t="n"/>
      <c r="AI135" s="194" t="n"/>
      <c r="AJ135" s="194" t="n"/>
    </row>
    <row r="136" ht="12" customHeight="1" s="1">
      <c r="A136" s="194" t="n"/>
      <c r="B136" s="194" t="n"/>
      <c r="C136" s="194" t="n"/>
      <c r="D136" s="194" t="n"/>
      <c r="E136" s="194" t="n"/>
      <c r="F136" s="194" t="n"/>
      <c r="G136" s="194" t="n"/>
      <c r="H136" s="109" t="n"/>
      <c r="I136" s="110" t="n"/>
      <c r="J136" s="110" t="n"/>
      <c r="K136" s="110" t="n"/>
      <c r="L136" s="110" t="n"/>
      <c r="M136" s="110" t="n"/>
      <c r="N136" s="110" t="n"/>
      <c r="O136" s="110" t="n"/>
      <c r="P136" s="110" t="n"/>
      <c r="Q136" s="110" t="n"/>
      <c r="R136" s="110" t="n"/>
      <c r="S136" s="110" t="n"/>
      <c r="T136" s="111" t="n"/>
      <c r="U136" s="194" t="n"/>
      <c r="V136" s="194" t="n"/>
      <c r="W136" s="194" t="n"/>
      <c r="X136" s="194" t="n"/>
      <c r="Y136" s="194" t="n"/>
      <c r="Z136" s="194" t="n"/>
      <c r="AA136" s="194" t="n"/>
      <c r="AB136" s="194" t="n"/>
      <c r="AC136" s="194" t="n"/>
      <c r="AD136" s="194" t="n"/>
      <c r="AE136" s="194" t="n"/>
      <c r="AF136" s="194" t="n"/>
      <c r="AG136" s="194" t="n"/>
      <c r="AH136" s="194" t="n"/>
      <c r="AI136" s="194" t="n"/>
      <c r="AJ136" s="194" t="n"/>
    </row>
    <row r="137" ht="12" customHeight="1" s="1">
      <c r="A137" s="194" t="n"/>
      <c r="B137" s="194" t="n"/>
      <c r="C137" s="194" t="n"/>
      <c r="D137" s="194" t="n"/>
      <c r="E137" s="194" t="n"/>
      <c r="F137" s="194" t="n"/>
      <c r="G137" s="194" t="n"/>
      <c r="H137" s="109" t="n"/>
      <c r="I137" s="110" t="n"/>
      <c r="J137" s="110" t="n"/>
      <c r="K137" s="110" t="n"/>
      <c r="L137" s="110" t="n"/>
      <c r="M137" s="110" t="n"/>
      <c r="N137" s="110" t="n"/>
      <c r="O137" s="110" t="n"/>
      <c r="P137" s="110" t="n"/>
      <c r="Q137" s="110" t="n"/>
      <c r="R137" s="110" t="n"/>
      <c r="S137" s="110" t="n"/>
      <c r="T137" s="111" t="n"/>
      <c r="U137" s="194" t="n"/>
      <c r="V137" s="194" t="n"/>
      <c r="W137" s="194" t="n"/>
      <c r="X137" s="194" t="n"/>
      <c r="Y137" s="194" t="n"/>
      <c r="Z137" s="194" t="n"/>
      <c r="AA137" s="194" t="n"/>
      <c r="AB137" s="194" t="n"/>
      <c r="AC137" s="194" t="n"/>
      <c r="AD137" s="194" t="n"/>
      <c r="AE137" s="194" t="n"/>
      <c r="AF137" s="194" t="n"/>
      <c r="AG137" s="194" t="n"/>
      <c r="AH137" s="194" t="n"/>
      <c r="AI137" s="194" t="n"/>
      <c r="AJ137" s="194" t="n"/>
    </row>
    <row r="138" ht="12" customHeight="1" s="1">
      <c r="A138" s="194" t="n"/>
      <c r="B138" s="194" t="n"/>
      <c r="C138" s="194" t="n"/>
      <c r="D138" s="194" t="n"/>
      <c r="E138" s="194" t="n"/>
      <c r="F138" s="194" t="n"/>
      <c r="G138" s="194" t="n"/>
      <c r="H138" s="109" t="n"/>
      <c r="I138" s="110" t="n"/>
      <c r="J138" s="110" t="n"/>
      <c r="K138" s="110" t="n"/>
      <c r="L138" s="110" t="n"/>
      <c r="M138" s="110" t="n"/>
      <c r="N138" s="110" t="n"/>
      <c r="O138" s="110" t="n"/>
      <c r="P138" s="110" t="n"/>
      <c r="Q138" s="110" t="n"/>
      <c r="R138" s="110" t="n"/>
      <c r="S138" s="110" t="n"/>
      <c r="T138" s="111" t="n"/>
      <c r="U138" s="194" t="n"/>
      <c r="V138" s="194" t="n"/>
      <c r="W138" s="194" t="n"/>
      <c r="X138" s="194" t="n"/>
      <c r="Y138" s="194" t="n"/>
      <c r="Z138" s="194" t="n"/>
      <c r="AA138" s="194" t="n"/>
      <c r="AB138" s="194" t="n"/>
      <c r="AC138" s="194" t="n"/>
      <c r="AD138" s="194" t="n"/>
      <c r="AE138" s="194" t="n"/>
      <c r="AF138" s="194" t="n"/>
      <c r="AG138" s="194" t="n"/>
      <c r="AH138" s="194" t="n"/>
      <c r="AI138" s="194" t="n"/>
      <c r="AJ138" s="194" t="n"/>
    </row>
    <row r="139" ht="12" customHeight="1" s="1">
      <c r="A139" s="194" t="n"/>
      <c r="B139" s="194" t="n"/>
      <c r="C139" s="194" t="n"/>
      <c r="D139" s="194" t="n"/>
      <c r="E139" s="194" t="n"/>
      <c r="F139" s="194" t="n"/>
      <c r="G139" s="194" t="n"/>
      <c r="H139" s="109" t="n"/>
      <c r="I139" s="110" t="n"/>
      <c r="J139" s="110" t="n"/>
      <c r="K139" s="110" t="n"/>
      <c r="L139" s="110" t="n"/>
      <c r="M139" s="110" t="n"/>
      <c r="N139" s="110" t="n"/>
      <c r="O139" s="110" t="n"/>
      <c r="P139" s="110" t="n"/>
      <c r="Q139" s="110" t="n"/>
      <c r="R139" s="110" t="n"/>
      <c r="S139" s="110" t="n"/>
      <c r="T139" s="111" t="n"/>
      <c r="U139" s="194" t="n"/>
      <c r="V139" s="194" t="n"/>
      <c r="W139" s="194" t="n"/>
      <c r="X139" s="194" t="n"/>
      <c r="Y139" s="194" t="n"/>
      <c r="Z139" s="194" t="n"/>
      <c r="AA139" s="194" t="n"/>
      <c r="AB139" s="194" t="n"/>
      <c r="AC139" s="194" t="n"/>
      <c r="AD139" s="194" t="n"/>
      <c r="AE139" s="194" t="n"/>
      <c r="AF139" s="194" t="n"/>
      <c r="AG139" s="194" t="n"/>
      <c r="AH139" s="194" t="n"/>
      <c r="AI139" s="194" t="n"/>
      <c r="AJ139" s="194" t="n"/>
    </row>
    <row r="140" ht="12" customHeight="1" s="1">
      <c r="A140" s="194" t="n"/>
      <c r="B140" s="194" t="n"/>
      <c r="C140" s="194" t="n"/>
      <c r="D140" s="194" t="n"/>
      <c r="E140" s="194" t="n"/>
      <c r="F140" s="194" t="n"/>
      <c r="G140" s="194" t="n"/>
      <c r="H140" s="109" t="n"/>
      <c r="I140" s="110" t="n"/>
      <c r="J140" s="110" t="n"/>
      <c r="K140" s="110" t="n"/>
      <c r="L140" s="110" t="n"/>
      <c r="M140" s="110" t="n"/>
      <c r="N140" s="110" t="n"/>
      <c r="O140" s="110" t="n"/>
      <c r="P140" s="110" t="n"/>
      <c r="Q140" s="110" t="n"/>
      <c r="R140" s="110" t="n"/>
      <c r="S140" s="110" t="n"/>
      <c r="T140" s="111" t="n"/>
      <c r="U140" s="194" t="n"/>
      <c r="V140" s="194" t="n"/>
      <c r="W140" s="194" t="n"/>
      <c r="X140" s="194" t="n"/>
      <c r="Y140" s="194" t="n"/>
      <c r="Z140" s="194" t="n"/>
      <c r="AA140" s="194" t="n"/>
      <c r="AB140" s="194" t="n"/>
      <c r="AC140" s="194" t="n"/>
      <c r="AD140" s="194" t="n"/>
      <c r="AE140" s="194" t="n"/>
      <c r="AF140" s="194" t="n"/>
      <c r="AG140" s="194" t="n"/>
      <c r="AH140" s="194" t="n"/>
      <c r="AI140" s="194" t="n"/>
      <c r="AJ140" s="194" t="n"/>
    </row>
    <row r="141" ht="12" customHeight="1" s="1">
      <c r="A141" s="194" t="n"/>
      <c r="B141" s="194" t="n"/>
      <c r="C141" s="194" t="n"/>
      <c r="D141" s="194" t="n"/>
      <c r="E141" s="194" t="n"/>
      <c r="F141" s="194" t="n"/>
      <c r="G141" s="194" t="n"/>
      <c r="H141" s="109" t="n"/>
      <c r="I141" s="110" t="n"/>
      <c r="J141" s="110" t="n"/>
      <c r="K141" s="110" t="n"/>
      <c r="L141" s="110" t="n"/>
      <c r="M141" s="110" t="n"/>
      <c r="N141" s="110" t="n"/>
      <c r="O141" s="110" t="n"/>
      <c r="P141" s="110" t="n"/>
      <c r="Q141" s="110" t="n"/>
      <c r="R141" s="110" t="n"/>
      <c r="S141" s="110" t="n"/>
      <c r="T141" s="111" t="n"/>
      <c r="U141" s="194" t="n"/>
      <c r="V141" s="194" t="n"/>
      <c r="W141" s="194" t="n"/>
      <c r="X141" s="194" t="n"/>
      <c r="Y141" s="194" t="n"/>
      <c r="Z141" s="194" t="n"/>
      <c r="AA141" s="194" t="n"/>
      <c r="AB141" s="194" t="n"/>
      <c r="AC141" s="194" t="n"/>
      <c r="AD141" s="194" t="n"/>
      <c r="AE141" s="194" t="n"/>
      <c r="AF141" s="194" t="n"/>
      <c r="AG141" s="194" t="n"/>
      <c r="AH141" s="194" t="n"/>
      <c r="AI141" s="194" t="n"/>
      <c r="AJ141" s="194" t="n"/>
    </row>
    <row r="142" ht="12" customHeight="1" s="1">
      <c r="A142" s="194" t="n"/>
      <c r="B142" s="194" t="n"/>
      <c r="C142" s="194" t="n"/>
      <c r="D142" s="194" t="n"/>
      <c r="E142" s="194" t="n"/>
      <c r="F142" s="194" t="n"/>
      <c r="G142" s="194" t="n"/>
      <c r="H142" s="109" t="n"/>
      <c r="I142" s="110" t="n"/>
      <c r="J142" s="110" t="n"/>
      <c r="K142" s="110" t="n"/>
      <c r="L142" s="110" t="n"/>
      <c r="M142" s="110" t="n"/>
      <c r="N142" s="110" t="n"/>
      <c r="O142" s="110" t="n"/>
      <c r="P142" s="110" t="n"/>
      <c r="Q142" s="110" t="n"/>
      <c r="R142" s="110" t="n"/>
      <c r="S142" s="110" t="n"/>
      <c r="T142" s="111" t="n"/>
      <c r="U142" s="194" t="n"/>
      <c r="V142" s="194" t="n"/>
      <c r="W142" s="194" t="n"/>
      <c r="X142" s="194" t="n"/>
      <c r="Y142" s="194" t="n"/>
      <c r="Z142" s="194" t="n"/>
      <c r="AA142" s="194" t="n"/>
      <c r="AB142" s="194" t="n"/>
      <c r="AC142" s="194" t="n"/>
      <c r="AD142" s="194" t="n"/>
      <c r="AE142" s="194" t="n"/>
      <c r="AF142" s="194" t="n"/>
      <c r="AG142" s="194" t="n"/>
      <c r="AH142" s="194" t="n"/>
      <c r="AI142" s="194" t="n"/>
      <c r="AJ142" s="194" t="n"/>
    </row>
    <row r="143" ht="12" customHeight="1" s="1">
      <c r="A143" s="194" t="n"/>
      <c r="B143" s="194" t="n"/>
      <c r="C143" s="194" t="n"/>
      <c r="D143" s="194" t="n"/>
      <c r="E143" s="194" t="n"/>
      <c r="F143" s="194" t="n"/>
      <c r="G143" s="194" t="n"/>
      <c r="H143" s="109" t="n"/>
      <c r="I143" s="110" t="n"/>
      <c r="J143" s="110" t="n"/>
      <c r="K143" s="110" t="n"/>
      <c r="L143" s="110" t="n"/>
      <c r="M143" s="110" t="n"/>
      <c r="N143" s="110" t="n"/>
      <c r="O143" s="110" t="n"/>
      <c r="P143" s="110" t="n"/>
      <c r="Q143" s="110" t="n"/>
      <c r="R143" s="110" t="n"/>
      <c r="S143" s="110" t="n"/>
      <c r="T143" s="111" t="n"/>
      <c r="U143" s="194" t="n"/>
      <c r="V143" s="194" t="n"/>
      <c r="W143" s="194" t="n"/>
      <c r="X143" s="194" t="n"/>
      <c r="Y143" s="194" t="n"/>
      <c r="Z143" s="194" t="n"/>
      <c r="AA143" s="194" t="n"/>
      <c r="AB143" s="194" t="n"/>
      <c r="AC143" s="194" t="n"/>
      <c r="AD143" s="194" t="n"/>
      <c r="AE143" s="194" t="n"/>
      <c r="AF143" s="194" t="n"/>
      <c r="AG143" s="194" t="n"/>
      <c r="AH143" s="194" t="n"/>
      <c r="AI143" s="194" t="n"/>
      <c r="AJ143" s="194" t="n"/>
    </row>
    <row r="144" ht="12" customHeight="1" s="1">
      <c r="A144" s="194" t="n"/>
      <c r="B144" s="194" t="n"/>
      <c r="C144" s="194" t="n"/>
      <c r="D144" s="194" t="n"/>
      <c r="E144" s="194" t="n"/>
      <c r="F144" s="194" t="n"/>
      <c r="G144" s="194" t="n"/>
      <c r="H144" s="109" t="n"/>
      <c r="I144" s="110" t="n"/>
      <c r="J144" s="110" t="n"/>
      <c r="K144" s="110" t="n"/>
      <c r="L144" s="110" t="n"/>
      <c r="M144" s="110" t="n"/>
      <c r="N144" s="110" t="n"/>
      <c r="O144" s="110" t="n"/>
      <c r="P144" s="110" t="n"/>
      <c r="Q144" s="110" t="n"/>
      <c r="R144" s="110" t="n"/>
      <c r="S144" s="110" t="n"/>
      <c r="T144" s="111" t="n"/>
      <c r="U144" s="194" t="n"/>
      <c r="V144" s="194" t="n"/>
      <c r="W144" s="194" t="n"/>
      <c r="X144" s="194" t="n"/>
      <c r="Y144" s="194" t="n"/>
      <c r="Z144" s="194" t="n"/>
      <c r="AA144" s="194" t="n"/>
      <c r="AB144" s="194" t="n"/>
      <c r="AC144" s="194" t="n"/>
      <c r="AD144" s="194" t="n"/>
      <c r="AE144" s="194" t="n"/>
      <c r="AF144" s="194" t="n"/>
      <c r="AG144" s="194" t="n"/>
      <c r="AH144" s="194" t="n"/>
      <c r="AI144" s="194" t="n"/>
      <c r="AJ144" s="194" t="n"/>
    </row>
    <row r="145" ht="12" customHeight="1" s="1">
      <c r="A145" s="194" t="n"/>
      <c r="B145" s="194" t="n"/>
      <c r="C145" s="194" t="n"/>
      <c r="D145" s="194" t="n"/>
      <c r="E145" s="194" t="n"/>
      <c r="F145" s="194" t="n"/>
      <c r="G145" s="194" t="n"/>
      <c r="H145" s="109" t="n"/>
      <c r="I145" s="110" t="n"/>
      <c r="J145" s="110" t="n"/>
      <c r="K145" s="110" t="n"/>
      <c r="L145" s="110" t="n"/>
      <c r="M145" s="110" t="n"/>
      <c r="N145" s="110" t="n"/>
      <c r="O145" s="110" t="n"/>
      <c r="P145" s="110" t="n"/>
      <c r="Q145" s="110" t="n"/>
      <c r="R145" s="110" t="n"/>
      <c r="S145" s="110" t="n"/>
      <c r="T145" s="111" t="n"/>
      <c r="U145" s="194" t="n"/>
      <c r="V145" s="194" t="n"/>
      <c r="W145" s="194" t="n"/>
      <c r="X145" s="194" t="n"/>
      <c r="Y145" s="194" t="n"/>
      <c r="Z145" s="194" t="n"/>
      <c r="AA145" s="194" t="n"/>
      <c r="AB145" s="194" t="n"/>
      <c r="AC145" s="194" t="n"/>
      <c r="AD145" s="194" t="n"/>
      <c r="AE145" s="194" t="n"/>
      <c r="AF145" s="194" t="n"/>
      <c r="AG145" s="194" t="n"/>
      <c r="AH145" s="194" t="n"/>
      <c r="AI145" s="194" t="n"/>
      <c r="AJ145" s="194" t="n"/>
    </row>
    <row r="146" ht="12" customHeight="1" s="1">
      <c r="A146" s="194" t="n"/>
      <c r="B146" s="194" t="n"/>
      <c r="C146" s="194" t="n"/>
      <c r="D146" s="194" t="n"/>
      <c r="E146" s="194" t="n"/>
      <c r="F146" s="194" t="n"/>
      <c r="G146" s="194" t="n"/>
      <c r="H146" s="109" t="n"/>
      <c r="I146" s="110" t="n"/>
      <c r="J146" s="110" t="n"/>
      <c r="K146" s="110" t="n"/>
      <c r="L146" s="110" t="n"/>
      <c r="M146" s="110" t="n"/>
      <c r="N146" s="110" t="n"/>
      <c r="O146" s="110" t="n"/>
      <c r="P146" s="110" t="n"/>
      <c r="Q146" s="110" t="n"/>
      <c r="R146" s="110" t="n"/>
      <c r="S146" s="110" t="n"/>
      <c r="T146" s="111" t="n"/>
      <c r="U146" s="194" t="n"/>
      <c r="V146" s="194" t="n"/>
      <c r="W146" s="194" t="n"/>
      <c r="X146" s="194" t="n"/>
      <c r="Y146" s="194" t="n"/>
      <c r="Z146" s="194" t="n"/>
      <c r="AA146" s="194" t="n"/>
      <c r="AB146" s="194" t="n"/>
      <c r="AC146" s="194" t="n"/>
      <c r="AD146" s="194" t="n"/>
      <c r="AE146" s="194" t="n"/>
      <c r="AF146" s="194" t="n"/>
      <c r="AG146" s="194" t="n"/>
      <c r="AH146" s="194" t="n"/>
      <c r="AI146" s="194" t="n"/>
      <c r="AJ146" s="194" t="n"/>
    </row>
    <row r="147" ht="12" customHeight="1" s="1">
      <c r="A147" s="194" t="n"/>
      <c r="B147" s="194" t="n"/>
      <c r="C147" s="194" t="n"/>
      <c r="D147" s="194" t="n"/>
      <c r="E147" s="194" t="n"/>
      <c r="F147" s="194" t="n"/>
      <c r="G147" s="194" t="n"/>
      <c r="H147" s="109" t="n"/>
      <c r="I147" s="110" t="n"/>
      <c r="J147" s="110" t="n"/>
      <c r="K147" s="110" t="n"/>
      <c r="L147" s="110" t="n"/>
      <c r="M147" s="110" t="n"/>
      <c r="N147" s="110" t="n"/>
      <c r="O147" s="110" t="n"/>
      <c r="P147" s="110" t="n"/>
      <c r="Q147" s="110" t="n"/>
      <c r="R147" s="110" t="n"/>
      <c r="S147" s="110" t="n"/>
      <c r="T147" s="111" t="n"/>
      <c r="U147" s="194" t="n"/>
      <c r="V147" s="194" t="n"/>
      <c r="W147" s="194" t="n"/>
      <c r="X147" s="194" t="n"/>
      <c r="Y147" s="194" t="n"/>
      <c r="Z147" s="194" t="n"/>
      <c r="AA147" s="194" t="n"/>
      <c r="AB147" s="194" t="n"/>
      <c r="AC147" s="194" t="n"/>
      <c r="AD147" s="194" t="n"/>
      <c r="AE147" s="194" t="n"/>
      <c r="AF147" s="194" t="n"/>
      <c r="AG147" s="194" t="n"/>
      <c r="AH147" s="194" t="n"/>
      <c r="AI147" s="194" t="n"/>
      <c r="AJ147" s="194" t="n"/>
    </row>
    <row r="148" ht="12" customHeight="1" s="1">
      <c r="A148" s="194" t="n"/>
      <c r="B148" s="194" t="n"/>
      <c r="C148" s="194" t="n"/>
      <c r="D148" s="194" t="n"/>
      <c r="E148" s="194" t="n"/>
      <c r="F148" s="194" t="n"/>
      <c r="G148" s="194" t="n"/>
      <c r="H148" s="109" t="n"/>
      <c r="I148" s="110" t="n"/>
      <c r="J148" s="110" t="n"/>
      <c r="K148" s="110" t="n"/>
      <c r="L148" s="110" t="n"/>
      <c r="M148" s="110" t="n"/>
      <c r="N148" s="110" t="n"/>
      <c r="O148" s="110" t="n"/>
      <c r="P148" s="110" t="n"/>
      <c r="Q148" s="110" t="n"/>
      <c r="R148" s="110" t="n"/>
      <c r="S148" s="110" t="n"/>
      <c r="T148" s="111" t="n"/>
      <c r="U148" s="194" t="n"/>
      <c r="V148" s="194" t="n"/>
      <c r="W148" s="194" t="n"/>
      <c r="X148" s="194" t="n"/>
      <c r="Y148" s="194" t="n"/>
      <c r="Z148" s="194" t="n"/>
      <c r="AA148" s="194" t="n"/>
      <c r="AB148" s="194" t="n"/>
      <c r="AC148" s="194" t="n"/>
      <c r="AD148" s="194" t="n"/>
      <c r="AE148" s="194" t="n"/>
      <c r="AF148" s="194" t="n"/>
      <c r="AG148" s="194" t="n"/>
      <c r="AH148" s="194" t="n"/>
      <c r="AI148" s="194" t="n"/>
      <c r="AJ148" s="194" t="n"/>
    </row>
    <row r="149" ht="12" customHeight="1" s="1">
      <c r="A149" s="194" t="n"/>
      <c r="B149" s="194" t="n"/>
      <c r="C149" s="194" t="n"/>
      <c r="D149" s="194" t="n"/>
      <c r="E149" s="194" t="n"/>
      <c r="F149" s="194" t="n"/>
      <c r="G149" s="194" t="n"/>
      <c r="H149" s="109" t="n"/>
      <c r="I149" s="110" t="n"/>
      <c r="J149" s="110" t="n"/>
      <c r="K149" s="110" t="n"/>
      <c r="L149" s="110" t="n"/>
      <c r="M149" s="110" t="n"/>
      <c r="N149" s="110" t="n"/>
      <c r="O149" s="110" t="n"/>
      <c r="P149" s="110" t="n"/>
      <c r="Q149" s="110" t="n"/>
      <c r="R149" s="110" t="n"/>
      <c r="S149" s="110" t="n"/>
      <c r="T149" s="111" t="n"/>
      <c r="U149" s="194" t="n"/>
      <c r="V149" s="194" t="n"/>
      <c r="W149" s="194" t="n"/>
      <c r="X149" s="194" t="n"/>
      <c r="Y149" s="194" t="n"/>
      <c r="Z149" s="194" t="n"/>
      <c r="AA149" s="194" t="n"/>
      <c r="AB149" s="194" t="n"/>
      <c r="AC149" s="194" t="n"/>
      <c r="AD149" s="194" t="n"/>
      <c r="AE149" s="194" t="n"/>
      <c r="AF149" s="194" t="n"/>
      <c r="AG149" s="194" t="n"/>
      <c r="AH149" s="194" t="n"/>
      <c r="AI149" s="194" t="n"/>
      <c r="AJ149" s="194" t="n"/>
    </row>
    <row r="150" ht="12" customHeight="1" s="1">
      <c r="A150" s="194" t="n"/>
      <c r="B150" s="194" t="n"/>
      <c r="C150" s="194" t="n"/>
      <c r="D150" s="194" t="n"/>
      <c r="E150" s="194" t="n"/>
      <c r="F150" s="194" t="n"/>
      <c r="G150" s="194" t="n"/>
      <c r="H150" s="109" t="n"/>
      <c r="I150" s="110" t="n"/>
      <c r="J150" s="110" t="n"/>
      <c r="K150" s="110" t="n"/>
      <c r="L150" s="110" t="n"/>
      <c r="M150" s="110" t="n"/>
      <c r="N150" s="110" t="n"/>
      <c r="O150" s="110" t="n"/>
      <c r="P150" s="110" t="n"/>
      <c r="Q150" s="110" t="n"/>
      <c r="R150" s="110" t="n"/>
      <c r="S150" s="110" t="n"/>
      <c r="T150" s="111" t="n"/>
      <c r="U150" s="194" t="n"/>
      <c r="V150" s="194" t="n"/>
      <c r="W150" s="194" t="n"/>
      <c r="X150" s="194" t="n"/>
      <c r="Y150" s="194" t="n"/>
      <c r="Z150" s="194" t="n"/>
      <c r="AA150" s="194" t="n"/>
      <c r="AB150" s="194" t="n"/>
      <c r="AC150" s="194" t="n"/>
      <c r="AD150" s="194" t="n"/>
      <c r="AE150" s="194" t="n"/>
      <c r="AF150" s="194" t="n"/>
      <c r="AG150" s="194" t="n"/>
      <c r="AH150" s="194" t="n"/>
      <c r="AI150" s="194" t="n"/>
      <c r="AJ150" s="194" t="n"/>
    </row>
    <row r="151" ht="12" customHeight="1" s="1">
      <c r="A151" s="194" t="n"/>
      <c r="B151" s="194" t="n"/>
      <c r="C151" s="194" t="n"/>
      <c r="D151" s="194" t="n"/>
      <c r="E151" s="194" t="n"/>
      <c r="F151" s="194" t="n"/>
      <c r="G151" s="194" t="n"/>
      <c r="H151" s="109" t="n"/>
      <c r="I151" s="110" t="n"/>
      <c r="J151" s="110" t="n"/>
      <c r="K151" s="110" t="n"/>
      <c r="L151" s="110" t="n"/>
      <c r="M151" s="110" t="n"/>
      <c r="N151" s="110" t="n"/>
      <c r="O151" s="110" t="n"/>
      <c r="P151" s="110" t="n"/>
      <c r="Q151" s="110" t="n"/>
      <c r="R151" s="110" t="n"/>
      <c r="S151" s="110" t="n"/>
      <c r="T151" s="111" t="n"/>
      <c r="U151" s="194" t="n"/>
      <c r="V151" s="194" t="n"/>
      <c r="W151" s="194" t="n"/>
      <c r="X151" s="194" t="n"/>
      <c r="Y151" s="194" t="n"/>
      <c r="Z151" s="194" t="n"/>
      <c r="AA151" s="194" t="n"/>
      <c r="AB151" s="194" t="n"/>
      <c r="AC151" s="194" t="n"/>
      <c r="AD151" s="194" t="n"/>
      <c r="AE151" s="194" t="n"/>
      <c r="AF151" s="194" t="n"/>
      <c r="AG151" s="194" t="n"/>
      <c r="AH151" s="194" t="n"/>
      <c r="AI151" s="194" t="n"/>
      <c r="AJ151" s="194" t="n"/>
    </row>
    <row r="152" ht="12" customHeight="1" s="1">
      <c r="A152" s="194" t="n"/>
      <c r="B152" s="194" t="n"/>
      <c r="C152" s="194" t="n"/>
      <c r="D152" s="194" t="n"/>
      <c r="E152" s="194" t="n"/>
      <c r="F152" s="194" t="n"/>
      <c r="G152" s="194" t="n"/>
      <c r="H152" s="109" t="n"/>
      <c r="I152" s="110" t="n"/>
      <c r="J152" s="110" t="n"/>
      <c r="K152" s="110" t="n"/>
      <c r="L152" s="110" t="n"/>
      <c r="M152" s="110" t="n"/>
      <c r="N152" s="110" t="n"/>
      <c r="O152" s="110" t="n"/>
      <c r="P152" s="110" t="n"/>
      <c r="Q152" s="110" t="n"/>
      <c r="R152" s="110" t="n"/>
      <c r="S152" s="110" t="n"/>
      <c r="T152" s="111" t="n"/>
      <c r="U152" s="194" t="n"/>
      <c r="V152" s="194" t="n"/>
      <c r="W152" s="194" t="n"/>
      <c r="X152" s="194" t="n"/>
      <c r="Y152" s="194" t="n"/>
      <c r="Z152" s="194" t="n"/>
      <c r="AA152" s="194" t="n"/>
      <c r="AB152" s="194" t="n"/>
      <c r="AC152" s="194" t="n"/>
      <c r="AD152" s="194" t="n"/>
      <c r="AE152" s="194" t="n"/>
      <c r="AF152" s="194" t="n"/>
      <c r="AG152" s="194" t="n"/>
      <c r="AH152" s="194" t="n"/>
      <c r="AI152" s="194" t="n"/>
      <c r="AJ152" s="194" t="n"/>
    </row>
    <row r="153" ht="12" customHeight="1" s="1">
      <c r="A153" s="194" t="n"/>
      <c r="B153" s="194" t="n"/>
      <c r="C153" s="194" t="n"/>
      <c r="D153" s="194" t="n"/>
      <c r="E153" s="194" t="n"/>
      <c r="F153" s="194" t="n"/>
      <c r="G153" s="194" t="n"/>
      <c r="H153" s="109" t="n"/>
      <c r="I153" s="110" t="n"/>
      <c r="J153" s="110" t="n"/>
      <c r="K153" s="110" t="n"/>
      <c r="L153" s="110" t="n"/>
      <c r="M153" s="110" t="n"/>
      <c r="N153" s="110" t="n"/>
      <c r="O153" s="110" t="n"/>
      <c r="P153" s="110" t="n"/>
      <c r="Q153" s="110" t="n"/>
      <c r="R153" s="110" t="n"/>
      <c r="S153" s="110" t="n"/>
      <c r="T153" s="111" t="n"/>
      <c r="U153" s="194" t="n"/>
      <c r="V153" s="194" t="n"/>
      <c r="W153" s="194" t="n"/>
      <c r="X153" s="194" t="n"/>
      <c r="Y153" s="194" t="n"/>
      <c r="Z153" s="194" t="n"/>
      <c r="AA153" s="194" t="n"/>
      <c r="AB153" s="194" t="n"/>
      <c r="AC153" s="194" t="n"/>
      <c r="AD153" s="194" t="n"/>
      <c r="AE153" s="194" t="n"/>
      <c r="AF153" s="194" t="n"/>
      <c r="AG153" s="194" t="n"/>
      <c r="AH153" s="194" t="n"/>
      <c r="AI153" s="194" t="n"/>
      <c r="AJ153" s="194" t="n"/>
    </row>
    <row r="154" ht="12" customHeight="1" s="1">
      <c r="A154" s="194" t="n"/>
      <c r="B154" s="194" t="n"/>
      <c r="C154" s="194" t="n"/>
      <c r="D154" s="194" t="n"/>
      <c r="E154" s="194" t="n"/>
      <c r="F154" s="194" t="n"/>
      <c r="G154" s="194" t="n"/>
      <c r="H154" s="109" t="n"/>
      <c r="I154" s="110" t="n"/>
      <c r="J154" s="110" t="n"/>
      <c r="K154" s="110" t="n"/>
      <c r="L154" s="110" t="n"/>
      <c r="M154" s="110" t="n"/>
      <c r="N154" s="110" t="n"/>
      <c r="O154" s="110" t="n"/>
      <c r="P154" s="110" t="n"/>
      <c r="Q154" s="110" t="n"/>
      <c r="R154" s="110" t="n"/>
      <c r="S154" s="110" t="n"/>
      <c r="T154" s="111" t="n"/>
      <c r="U154" s="194" t="n"/>
      <c r="V154" s="194" t="n"/>
      <c r="W154" s="194" t="n"/>
      <c r="X154" s="194" t="n"/>
      <c r="Y154" s="194" t="n"/>
      <c r="Z154" s="194" t="n"/>
      <c r="AA154" s="194" t="n"/>
      <c r="AB154" s="194" t="n"/>
      <c r="AC154" s="194" t="n"/>
      <c r="AD154" s="194" t="n"/>
      <c r="AE154" s="194" t="n"/>
      <c r="AF154" s="194" t="n"/>
      <c r="AG154" s="194" t="n"/>
      <c r="AH154" s="194" t="n"/>
      <c r="AI154" s="194" t="n"/>
      <c r="AJ154" s="194" t="n"/>
    </row>
    <row r="155" ht="12" customHeight="1" s="1">
      <c r="A155" s="194" t="n"/>
      <c r="B155" s="194" t="n"/>
      <c r="C155" s="194" t="n"/>
      <c r="D155" s="194" t="n"/>
      <c r="E155" s="194" t="n"/>
      <c r="F155" s="194" t="n"/>
      <c r="G155" s="194" t="n"/>
      <c r="H155" s="109" t="n"/>
      <c r="I155" s="110" t="n"/>
      <c r="J155" s="110" t="n"/>
      <c r="K155" s="110" t="n"/>
      <c r="L155" s="110" t="n"/>
      <c r="M155" s="110" t="n"/>
      <c r="N155" s="110" t="n"/>
      <c r="O155" s="110" t="n"/>
      <c r="P155" s="110" t="n"/>
      <c r="Q155" s="110" t="n"/>
      <c r="R155" s="110" t="n"/>
      <c r="S155" s="110" t="n"/>
      <c r="T155" s="111" t="n"/>
      <c r="U155" s="194" t="n"/>
      <c r="V155" s="194" t="n"/>
      <c r="W155" s="194" t="n"/>
      <c r="X155" s="194" t="n"/>
      <c r="Y155" s="194" t="n"/>
      <c r="Z155" s="194" t="n"/>
      <c r="AA155" s="194" t="n"/>
      <c r="AB155" s="194" t="n"/>
      <c r="AC155" s="194" t="n"/>
      <c r="AD155" s="194" t="n"/>
      <c r="AE155" s="194" t="n"/>
      <c r="AF155" s="194" t="n"/>
      <c r="AG155" s="194" t="n"/>
      <c r="AH155" s="194" t="n"/>
      <c r="AI155" s="194" t="n"/>
      <c r="AJ155" s="194" t="n"/>
    </row>
    <row r="156" ht="12" customHeight="1" s="1">
      <c r="A156" s="194" t="n"/>
      <c r="B156" s="194" t="n"/>
      <c r="C156" s="194" t="n"/>
      <c r="D156" s="194" t="n"/>
      <c r="E156" s="194" t="n"/>
      <c r="F156" s="194" t="n"/>
      <c r="G156" s="194" t="n"/>
      <c r="H156" s="109" t="n"/>
      <c r="I156" s="110" t="n"/>
      <c r="J156" s="110" t="n"/>
      <c r="K156" s="110" t="n"/>
      <c r="L156" s="110" t="n"/>
      <c r="M156" s="110" t="n"/>
      <c r="N156" s="110" t="n"/>
      <c r="O156" s="110" t="n"/>
      <c r="P156" s="110" t="n"/>
      <c r="Q156" s="110" t="n"/>
      <c r="R156" s="110" t="n"/>
      <c r="S156" s="110" t="n"/>
      <c r="T156" s="111" t="n"/>
      <c r="U156" s="194" t="n"/>
      <c r="V156" s="194" t="n"/>
      <c r="W156" s="194" t="n"/>
      <c r="X156" s="194" t="n"/>
      <c r="Y156" s="194" t="n"/>
      <c r="Z156" s="194" t="n"/>
      <c r="AA156" s="194" t="n"/>
      <c r="AB156" s="194" t="n"/>
      <c r="AC156" s="194" t="n"/>
      <c r="AD156" s="194" t="n"/>
      <c r="AE156" s="194" t="n"/>
      <c r="AF156" s="194" t="n"/>
      <c r="AG156" s="194" t="n"/>
      <c r="AH156" s="194" t="n"/>
      <c r="AI156" s="194" t="n"/>
      <c r="AJ156" s="194" t="n"/>
    </row>
    <row r="157" ht="12" customHeight="1" s="1">
      <c r="A157" s="194" t="n"/>
      <c r="B157" s="194" t="n"/>
      <c r="C157" s="194" t="n"/>
      <c r="D157" s="194" t="n"/>
      <c r="E157" s="194" t="n"/>
      <c r="F157" s="194" t="n"/>
      <c r="G157" s="194" t="n"/>
      <c r="H157" s="109" t="n"/>
      <c r="I157" s="110" t="n"/>
      <c r="J157" s="110" t="n"/>
      <c r="K157" s="110" t="n"/>
      <c r="L157" s="110" t="n"/>
      <c r="M157" s="110" t="n"/>
      <c r="N157" s="110" t="n"/>
      <c r="O157" s="110" t="n"/>
      <c r="P157" s="110" t="n"/>
      <c r="Q157" s="110" t="n"/>
      <c r="R157" s="110" t="n"/>
      <c r="S157" s="110" t="n"/>
      <c r="T157" s="111" t="n"/>
      <c r="U157" s="194" t="n"/>
      <c r="V157" s="194" t="n"/>
      <c r="W157" s="194" t="n"/>
      <c r="X157" s="194" t="n"/>
      <c r="Y157" s="194" t="n"/>
      <c r="Z157" s="194" t="n"/>
      <c r="AA157" s="194" t="n"/>
      <c r="AB157" s="194" t="n"/>
      <c r="AC157" s="194" t="n"/>
      <c r="AD157" s="194" t="n"/>
      <c r="AE157" s="194" t="n"/>
      <c r="AF157" s="194" t="n"/>
      <c r="AG157" s="194" t="n"/>
      <c r="AH157" s="194" t="n"/>
      <c r="AI157" s="194" t="n"/>
      <c r="AJ157" s="194" t="n"/>
    </row>
    <row r="158" ht="12" customHeight="1" s="1">
      <c r="A158" s="194" t="n"/>
      <c r="B158" s="194" t="n"/>
      <c r="C158" s="194" t="n"/>
      <c r="D158" s="194" t="n"/>
      <c r="E158" s="194" t="n"/>
      <c r="F158" s="194" t="n"/>
      <c r="G158" s="194" t="n"/>
      <c r="H158" s="109" t="n"/>
      <c r="I158" s="110" t="n"/>
      <c r="J158" s="110" t="n"/>
      <c r="K158" s="110" t="n"/>
      <c r="L158" s="110" t="n"/>
      <c r="M158" s="110" t="n"/>
      <c r="N158" s="110" t="n"/>
      <c r="O158" s="110" t="n"/>
      <c r="P158" s="110" t="n"/>
      <c r="Q158" s="110" t="n"/>
      <c r="R158" s="110" t="n"/>
      <c r="S158" s="110" t="n"/>
      <c r="T158" s="111" t="n"/>
      <c r="U158" s="194" t="n"/>
      <c r="V158" s="194" t="n"/>
      <c r="W158" s="194" t="n"/>
      <c r="X158" s="194" t="n"/>
      <c r="Y158" s="194" t="n"/>
      <c r="Z158" s="194" t="n"/>
      <c r="AA158" s="194" t="n"/>
      <c r="AB158" s="194" t="n"/>
      <c r="AC158" s="194" t="n"/>
      <c r="AD158" s="194" t="n"/>
      <c r="AE158" s="194" t="n"/>
      <c r="AF158" s="194" t="n"/>
      <c r="AG158" s="194" t="n"/>
      <c r="AH158" s="194" t="n"/>
      <c r="AI158" s="194" t="n"/>
      <c r="AJ158" s="194" t="n"/>
    </row>
    <row r="159" ht="12" customHeight="1" s="1">
      <c r="A159" s="194" t="n"/>
      <c r="B159" s="194" t="n"/>
      <c r="C159" s="194" t="n"/>
      <c r="D159" s="194" t="n"/>
      <c r="E159" s="194" t="n"/>
      <c r="F159" s="194" t="n"/>
      <c r="G159" s="194" t="n"/>
      <c r="H159" s="109" t="n"/>
      <c r="I159" s="110" t="n"/>
      <c r="J159" s="110" t="n"/>
      <c r="K159" s="110" t="n"/>
      <c r="L159" s="110" t="n"/>
      <c r="M159" s="110" t="n"/>
      <c r="N159" s="110" t="n"/>
      <c r="O159" s="110" t="n"/>
      <c r="P159" s="110" t="n"/>
      <c r="Q159" s="110" t="n"/>
      <c r="R159" s="110" t="n"/>
      <c r="S159" s="110" t="n"/>
      <c r="T159" s="111" t="n"/>
      <c r="U159" s="194" t="n"/>
      <c r="V159" s="194" t="n"/>
      <c r="W159" s="194" t="n"/>
      <c r="X159" s="194" t="n"/>
      <c r="Y159" s="194" t="n"/>
      <c r="Z159" s="194" t="n"/>
      <c r="AA159" s="194" t="n"/>
      <c r="AB159" s="194" t="n"/>
      <c r="AC159" s="194" t="n"/>
      <c r="AD159" s="194" t="n"/>
      <c r="AE159" s="194" t="n"/>
      <c r="AF159" s="194" t="n"/>
      <c r="AG159" s="194" t="n"/>
      <c r="AH159" s="194" t="n"/>
      <c r="AI159" s="194" t="n"/>
      <c r="AJ159" s="194" t="n"/>
    </row>
    <row r="160" ht="12" customHeight="1" s="1">
      <c r="A160" s="194" t="n"/>
      <c r="B160" s="194" t="n"/>
      <c r="C160" s="194" t="n"/>
      <c r="D160" s="194" t="n"/>
      <c r="E160" s="194" t="n"/>
      <c r="F160" s="194" t="n"/>
      <c r="G160" s="194" t="n"/>
      <c r="H160" s="109" t="n"/>
      <c r="I160" s="110" t="n"/>
      <c r="J160" s="110" t="n"/>
      <c r="K160" s="110" t="n"/>
      <c r="L160" s="110" t="n"/>
      <c r="M160" s="110" t="n"/>
      <c r="N160" s="110" t="n"/>
      <c r="O160" s="110" t="n"/>
      <c r="P160" s="110" t="n"/>
      <c r="Q160" s="110" t="n"/>
      <c r="R160" s="110" t="n"/>
      <c r="S160" s="110" t="n"/>
      <c r="T160" s="111" t="n"/>
      <c r="U160" s="194" t="n"/>
      <c r="V160" s="194" t="n"/>
      <c r="W160" s="194" t="n"/>
      <c r="X160" s="194" t="n"/>
      <c r="Y160" s="194" t="n"/>
      <c r="Z160" s="194" t="n"/>
      <c r="AA160" s="194" t="n"/>
      <c r="AB160" s="194" t="n"/>
      <c r="AC160" s="194" t="n"/>
      <c r="AD160" s="194" t="n"/>
      <c r="AE160" s="194" t="n"/>
      <c r="AF160" s="194" t="n"/>
      <c r="AG160" s="194" t="n"/>
      <c r="AH160" s="194" t="n"/>
      <c r="AI160" s="194" t="n"/>
      <c r="AJ160" s="194" t="n"/>
    </row>
    <row r="161" ht="12" customHeight="1" s="1">
      <c r="A161" s="194" t="n"/>
      <c r="B161" s="194" t="n"/>
      <c r="C161" s="194" t="n"/>
      <c r="D161" s="194" t="n"/>
      <c r="E161" s="194" t="n"/>
      <c r="F161" s="194" t="n"/>
      <c r="G161" s="194" t="n"/>
      <c r="H161" s="109" t="n"/>
      <c r="I161" s="110" t="n"/>
      <c r="J161" s="110" t="n"/>
      <c r="K161" s="110" t="n"/>
      <c r="L161" s="110" t="n"/>
      <c r="M161" s="110" t="n"/>
      <c r="N161" s="110" t="n"/>
      <c r="O161" s="110" t="n"/>
      <c r="P161" s="110" t="n"/>
      <c r="Q161" s="110" t="n"/>
      <c r="R161" s="110" t="n"/>
      <c r="S161" s="110" t="n"/>
      <c r="T161" s="111" t="n"/>
      <c r="U161" s="194" t="n"/>
      <c r="V161" s="194" t="n"/>
      <c r="W161" s="194" t="n"/>
      <c r="X161" s="194" t="n"/>
      <c r="Y161" s="194" t="n"/>
      <c r="Z161" s="194" t="n"/>
      <c r="AA161" s="194" t="n"/>
      <c r="AB161" s="194" t="n"/>
      <c r="AC161" s="194" t="n"/>
      <c r="AD161" s="194" t="n"/>
      <c r="AE161" s="194" t="n"/>
      <c r="AF161" s="194" t="n"/>
      <c r="AG161" s="194" t="n"/>
      <c r="AH161" s="194" t="n"/>
      <c r="AI161" s="194" t="n"/>
      <c r="AJ161" s="194" t="n"/>
    </row>
    <row r="162" ht="12" customHeight="1" s="1">
      <c r="A162" s="194" t="n"/>
      <c r="B162" s="194" t="n"/>
      <c r="C162" s="194" t="n"/>
      <c r="D162" s="194" t="n"/>
      <c r="E162" s="194" t="n"/>
      <c r="F162" s="194" t="n"/>
      <c r="G162" s="194" t="n"/>
      <c r="H162" s="109" t="n"/>
      <c r="I162" s="110" t="n"/>
      <c r="J162" s="110" t="n"/>
      <c r="K162" s="110" t="n"/>
      <c r="L162" s="110" t="n"/>
      <c r="M162" s="110" t="n"/>
      <c r="N162" s="110" t="n"/>
      <c r="O162" s="110" t="n"/>
      <c r="P162" s="110" t="n"/>
      <c r="Q162" s="110" t="n"/>
      <c r="R162" s="110" t="n"/>
      <c r="S162" s="110" t="n"/>
      <c r="T162" s="111" t="n"/>
      <c r="U162" s="194" t="n"/>
      <c r="V162" s="194" t="n"/>
      <c r="W162" s="194" t="n"/>
      <c r="X162" s="194" t="n"/>
      <c r="Y162" s="194" t="n"/>
      <c r="Z162" s="194" t="n"/>
      <c r="AA162" s="194" t="n"/>
      <c r="AB162" s="194" t="n"/>
      <c r="AC162" s="194" t="n"/>
      <c r="AD162" s="194" t="n"/>
      <c r="AE162" s="194" t="n"/>
      <c r="AF162" s="194" t="n"/>
      <c r="AG162" s="194" t="n"/>
      <c r="AH162" s="194" t="n"/>
      <c r="AI162" s="194" t="n"/>
      <c r="AJ162" s="194" t="n"/>
    </row>
    <row r="163" ht="12" customHeight="1" s="1">
      <c r="A163" s="194" t="n"/>
      <c r="B163" s="194" t="n"/>
      <c r="C163" s="194" t="n"/>
      <c r="D163" s="194" t="n"/>
      <c r="E163" s="194" t="n"/>
      <c r="F163" s="194" t="n"/>
      <c r="G163" s="194" t="n"/>
      <c r="H163" s="109" t="n"/>
      <c r="I163" s="110" t="n"/>
      <c r="J163" s="110" t="n"/>
      <c r="K163" s="110" t="n"/>
      <c r="L163" s="110" t="n"/>
      <c r="M163" s="110" t="n"/>
      <c r="N163" s="110" t="n"/>
      <c r="O163" s="110" t="n"/>
      <c r="P163" s="110" t="n"/>
      <c r="Q163" s="110" t="n"/>
      <c r="R163" s="110" t="n"/>
      <c r="S163" s="110" t="n"/>
      <c r="T163" s="111" t="n"/>
      <c r="U163" s="194" t="n"/>
      <c r="V163" s="194" t="n"/>
      <c r="W163" s="194" t="n"/>
      <c r="X163" s="194" t="n"/>
      <c r="Y163" s="194" t="n"/>
      <c r="Z163" s="194" t="n"/>
      <c r="AA163" s="194" t="n"/>
      <c r="AB163" s="194" t="n"/>
      <c r="AC163" s="194" t="n"/>
      <c r="AD163" s="194" t="n"/>
      <c r="AE163" s="194" t="n"/>
      <c r="AF163" s="194" t="n"/>
      <c r="AG163" s="194" t="n"/>
      <c r="AH163" s="194" t="n"/>
      <c r="AI163" s="194" t="n"/>
      <c r="AJ163" s="194" t="n"/>
    </row>
    <row r="164" ht="12" customHeight="1" s="1">
      <c r="A164" s="194" t="n"/>
      <c r="B164" s="194" t="n"/>
      <c r="C164" s="194" t="n"/>
      <c r="D164" s="194" t="n"/>
      <c r="E164" s="194" t="n"/>
      <c r="F164" s="194" t="n"/>
      <c r="G164" s="194" t="n"/>
      <c r="H164" s="109" t="n"/>
      <c r="I164" s="110" t="n"/>
      <c r="J164" s="110" t="n"/>
      <c r="K164" s="110" t="n"/>
      <c r="L164" s="110" t="n"/>
      <c r="M164" s="110" t="n"/>
      <c r="N164" s="110" t="n"/>
      <c r="O164" s="110" t="n"/>
      <c r="P164" s="110" t="n"/>
      <c r="Q164" s="110" t="n"/>
      <c r="R164" s="110" t="n"/>
      <c r="S164" s="110" t="n"/>
      <c r="T164" s="111" t="n"/>
      <c r="U164" s="194" t="n"/>
      <c r="V164" s="194" t="n"/>
      <c r="W164" s="194" t="n"/>
      <c r="X164" s="194" t="n"/>
      <c r="Y164" s="194" t="n"/>
      <c r="Z164" s="194" t="n"/>
      <c r="AA164" s="194" t="n"/>
      <c r="AB164" s="194" t="n"/>
      <c r="AC164" s="194" t="n"/>
      <c r="AD164" s="194" t="n"/>
      <c r="AE164" s="194" t="n"/>
      <c r="AF164" s="194" t="n"/>
      <c r="AG164" s="194" t="n"/>
      <c r="AH164" s="194" t="n"/>
      <c r="AI164" s="194" t="n"/>
      <c r="AJ164" s="194" t="n"/>
    </row>
    <row r="165" ht="12" customHeight="1" s="1">
      <c r="A165" s="194" t="n"/>
      <c r="B165" s="194" t="n"/>
      <c r="C165" s="194" t="n"/>
      <c r="D165" s="194" t="n"/>
      <c r="E165" s="194" t="n"/>
      <c r="F165" s="194" t="n"/>
      <c r="G165" s="194" t="n"/>
      <c r="H165" s="109" t="n"/>
      <c r="I165" s="110" t="n"/>
      <c r="J165" s="110" t="n"/>
      <c r="K165" s="110" t="n"/>
      <c r="L165" s="110" t="n"/>
      <c r="M165" s="110" t="n"/>
      <c r="N165" s="110" t="n"/>
      <c r="O165" s="110" t="n"/>
      <c r="P165" s="110" t="n"/>
      <c r="Q165" s="110" t="n"/>
      <c r="R165" s="110" t="n"/>
      <c r="S165" s="110" t="n"/>
      <c r="T165" s="111" t="n"/>
      <c r="U165" s="194" t="n"/>
      <c r="V165" s="194" t="n"/>
      <c r="W165" s="194" t="n"/>
      <c r="X165" s="194" t="n"/>
      <c r="Y165" s="194" t="n"/>
      <c r="Z165" s="194" t="n"/>
      <c r="AA165" s="194" t="n"/>
      <c r="AB165" s="194" t="n"/>
      <c r="AC165" s="194" t="n"/>
      <c r="AD165" s="194" t="n"/>
      <c r="AE165" s="194" t="n"/>
      <c r="AF165" s="194" t="n"/>
      <c r="AG165" s="194" t="n"/>
      <c r="AH165" s="194" t="n"/>
      <c r="AI165" s="194" t="n"/>
      <c r="AJ165" s="194" t="n"/>
    </row>
    <row r="166" ht="12" customHeight="1" s="1">
      <c r="A166" s="194" t="n"/>
      <c r="B166" s="194" t="n"/>
      <c r="C166" s="194" t="n"/>
      <c r="D166" s="194" t="n"/>
      <c r="E166" s="194" t="n"/>
      <c r="F166" s="194" t="n"/>
      <c r="G166" s="194" t="n"/>
      <c r="H166" s="109" t="n"/>
      <c r="I166" s="110" t="n"/>
      <c r="J166" s="110" t="n"/>
      <c r="K166" s="110" t="n"/>
      <c r="L166" s="110" t="n"/>
      <c r="M166" s="110" t="n"/>
      <c r="N166" s="110" t="n"/>
      <c r="O166" s="110" t="n"/>
      <c r="P166" s="110" t="n"/>
      <c r="Q166" s="110" t="n"/>
      <c r="R166" s="110" t="n"/>
      <c r="S166" s="110" t="n"/>
      <c r="T166" s="111" t="n"/>
      <c r="U166" s="194" t="n"/>
      <c r="V166" s="194" t="n"/>
      <c r="W166" s="194" t="n"/>
      <c r="X166" s="194" t="n"/>
      <c r="Y166" s="194" t="n"/>
      <c r="Z166" s="194" t="n"/>
      <c r="AA166" s="194" t="n"/>
      <c r="AB166" s="194" t="n"/>
      <c r="AC166" s="194" t="n"/>
      <c r="AD166" s="194" t="n"/>
      <c r="AE166" s="194" t="n"/>
      <c r="AF166" s="194" t="n"/>
      <c r="AG166" s="194" t="n"/>
      <c r="AH166" s="194" t="n"/>
      <c r="AI166" s="194" t="n"/>
      <c r="AJ166" s="194" t="n"/>
    </row>
    <row r="167" ht="12" customHeight="1" s="1">
      <c r="A167" s="194" t="n"/>
      <c r="B167" s="194" t="n"/>
      <c r="C167" s="194" t="n"/>
      <c r="D167" s="194" t="n"/>
      <c r="E167" s="194" t="n"/>
      <c r="F167" s="194" t="n"/>
      <c r="G167" s="194" t="n"/>
      <c r="H167" s="109" t="n"/>
      <c r="I167" s="110" t="n"/>
      <c r="J167" s="110" t="n"/>
      <c r="K167" s="110" t="n"/>
      <c r="L167" s="110" t="n"/>
      <c r="M167" s="110" t="n"/>
      <c r="N167" s="110" t="n"/>
      <c r="O167" s="110" t="n"/>
      <c r="P167" s="110" t="n"/>
      <c r="Q167" s="110" t="n"/>
      <c r="R167" s="110" t="n"/>
      <c r="S167" s="110" t="n"/>
      <c r="T167" s="111" t="n"/>
      <c r="U167" s="194" t="n"/>
      <c r="V167" s="194" t="n"/>
      <c r="W167" s="194" t="n"/>
      <c r="X167" s="194" t="n"/>
      <c r="Y167" s="194" t="n"/>
      <c r="Z167" s="194" t="n"/>
      <c r="AA167" s="194" t="n"/>
      <c r="AB167" s="194" t="n"/>
      <c r="AC167" s="194" t="n"/>
      <c r="AD167" s="194" t="n"/>
      <c r="AE167" s="194" t="n"/>
      <c r="AF167" s="194" t="n"/>
      <c r="AG167" s="194" t="n"/>
      <c r="AH167" s="194" t="n"/>
      <c r="AI167" s="194" t="n"/>
      <c r="AJ167" s="194" t="n"/>
    </row>
    <row r="168" ht="12" customHeight="1" s="1">
      <c r="A168" s="194" t="n"/>
      <c r="B168" s="194" t="n"/>
      <c r="C168" s="194" t="n"/>
      <c r="D168" s="194" t="n"/>
      <c r="E168" s="194" t="n"/>
      <c r="F168" s="194" t="n"/>
      <c r="G168" s="194" t="n"/>
      <c r="H168" s="109" t="n"/>
      <c r="I168" s="110" t="n"/>
      <c r="J168" s="110" t="n"/>
      <c r="K168" s="110" t="n"/>
      <c r="L168" s="110" t="n"/>
      <c r="M168" s="110" t="n"/>
      <c r="N168" s="110" t="n"/>
      <c r="O168" s="110" t="n"/>
      <c r="P168" s="110" t="n"/>
      <c r="Q168" s="110" t="n"/>
      <c r="R168" s="110" t="n"/>
      <c r="S168" s="110" t="n"/>
      <c r="T168" s="111" t="n"/>
      <c r="U168" s="194" t="n"/>
      <c r="V168" s="194" t="n"/>
      <c r="W168" s="194" t="n"/>
      <c r="X168" s="194" t="n"/>
      <c r="Y168" s="194" t="n"/>
      <c r="Z168" s="194" t="n"/>
      <c r="AA168" s="194" t="n"/>
      <c r="AB168" s="194" t="n"/>
      <c r="AC168" s="194" t="n"/>
      <c r="AD168" s="194" t="n"/>
      <c r="AE168" s="194" t="n"/>
      <c r="AF168" s="194" t="n"/>
      <c r="AG168" s="194" t="n"/>
      <c r="AH168" s="194" t="n"/>
      <c r="AI168" s="194" t="n"/>
      <c r="AJ168" s="194" t="n"/>
    </row>
    <row r="169" ht="12" customHeight="1" s="1">
      <c r="A169" s="194" t="n"/>
      <c r="B169" s="194" t="n"/>
      <c r="C169" s="194" t="n"/>
      <c r="D169" s="194" t="n"/>
      <c r="E169" s="194" t="n"/>
      <c r="F169" s="194" t="n"/>
      <c r="G169" s="194" t="n"/>
      <c r="H169" s="109" t="n"/>
      <c r="I169" s="110" t="n"/>
      <c r="J169" s="110" t="n"/>
      <c r="K169" s="110" t="n"/>
      <c r="L169" s="110" t="n"/>
      <c r="M169" s="110" t="n"/>
      <c r="N169" s="110" t="n"/>
      <c r="O169" s="110" t="n"/>
      <c r="P169" s="110" t="n"/>
      <c r="Q169" s="110" t="n"/>
      <c r="R169" s="110" t="n"/>
      <c r="S169" s="110" t="n"/>
      <c r="T169" s="111" t="n"/>
      <c r="U169" s="194" t="n"/>
      <c r="V169" s="194" t="n"/>
      <c r="W169" s="194" t="n"/>
      <c r="X169" s="194" t="n"/>
      <c r="Y169" s="194" t="n"/>
      <c r="Z169" s="194" t="n"/>
      <c r="AA169" s="194" t="n"/>
      <c r="AB169" s="194" t="n"/>
      <c r="AC169" s="194" t="n"/>
      <c r="AD169" s="194" t="n"/>
      <c r="AE169" s="194" t="n"/>
      <c r="AF169" s="194" t="n"/>
      <c r="AG169" s="194" t="n"/>
      <c r="AH169" s="194" t="n"/>
      <c r="AI169" s="194" t="n"/>
      <c r="AJ169" s="194" t="n"/>
    </row>
    <row r="170" ht="12" customHeight="1" s="1">
      <c r="A170" s="194" t="n"/>
      <c r="B170" s="194" t="n"/>
      <c r="C170" s="194" t="n"/>
      <c r="D170" s="194" t="n"/>
      <c r="E170" s="194" t="n"/>
      <c r="F170" s="194" t="n"/>
      <c r="G170" s="194" t="n"/>
      <c r="H170" s="109" t="n"/>
      <c r="I170" s="110" t="n"/>
      <c r="J170" s="110" t="n"/>
      <c r="K170" s="110" t="n"/>
      <c r="L170" s="110" t="n"/>
      <c r="M170" s="110" t="n"/>
      <c r="N170" s="110" t="n"/>
      <c r="O170" s="110" t="n"/>
      <c r="P170" s="110" t="n"/>
      <c r="Q170" s="110" t="n"/>
      <c r="R170" s="110" t="n"/>
      <c r="S170" s="110" t="n"/>
      <c r="T170" s="111" t="n"/>
      <c r="U170" s="194" t="n"/>
      <c r="V170" s="194" t="n"/>
      <c r="W170" s="194" t="n"/>
      <c r="X170" s="194" t="n"/>
      <c r="Y170" s="194" t="n"/>
      <c r="Z170" s="194" t="n"/>
      <c r="AA170" s="194" t="n"/>
      <c r="AB170" s="194" t="n"/>
      <c r="AC170" s="194" t="n"/>
      <c r="AD170" s="194" t="n"/>
      <c r="AE170" s="194" t="n"/>
      <c r="AF170" s="194" t="n"/>
      <c r="AG170" s="194" t="n"/>
      <c r="AH170" s="194" t="n"/>
      <c r="AI170" s="194" t="n"/>
      <c r="AJ170" s="194" t="n"/>
    </row>
    <row r="171" ht="12" customHeight="1" s="1">
      <c r="A171" s="194" t="n"/>
      <c r="B171" s="194" t="n"/>
      <c r="C171" s="194" t="n"/>
      <c r="D171" s="194" t="n"/>
      <c r="E171" s="194" t="n"/>
      <c r="F171" s="194" t="n"/>
      <c r="G171" s="194" t="n"/>
      <c r="H171" s="109" t="n"/>
      <c r="I171" s="110" t="n"/>
      <c r="J171" s="110" t="n"/>
      <c r="K171" s="110" t="n"/>
      <c r="L171" s="110" t="n"/>
      <c r="M171" s="110" t="n"/>
      <c r="N171" s="110" t="n"/>
      <c r="O171" s="110" t="n"/>
      <c r="P171" s="110" t="n"/>
      <c r="Q171" s="110" t="n"/>
      <c r="R171" s="110" t="n"/>
      <c r="S171" s="110" t="n"/>
      <c r="T171" s="111" t="n"/>
      <c r="U171" s="194" t="n"/>
      <c r="V171" s="194" t="n"/>
      <c r="W171" s="194" t="n"/>
      <c r="X171" s="194" t="n"/>
      <c r="Y171" s="194" t="n"/>
      <c r="Z171" s="194" t="n"/>
      <c r="AA171" s="194" t="n"/>
      <c r="AB171" s="194" t="n"/>
      <c r="AC171" s="194" t="n"/>
      <c r="AD171" s="194" t="n"/>
      <c r="AE171" s="194" t="n"/>
      <c r="AF171" s="194" t="n"/>
      <c r="AG171" s="194" t="n"/>
      <c r="AH171" s="194" t="n"/>
      <c r="AI171" s="194" t="n"/>
      <c r="AJ171" s="194" t="n"/>
    </row>
    <row r="172" ht="12" customHeight="1" s="1">
      <c r="A172" s="194" t="n"/>
      <c r="B172" s="194" t="n"/>
      <c r="C172" s="194" t="n"/>
      <c r="D172" s="194" t="n"/>
      <c r="E172" s="194" t="n"/>
      <c r="F172" s="194" t="n"/>
      <c r="G172" s="194" t="n"/>
      <c r="H172" s="109" t="n"/>
      <c r="I172" s="110" t="n"/>
      <c r="J172" s="110" t="n"/>
      <c r="K172" s="110" t="n"/>
      <c r="L172" s="110" t="n"/>
      <c r="M172" s="110" t="n"/>
      <c r="N172" s="110" t="n"/>
      <c r="O172" s="110" t="n"/>
      <c r="P172" s="110" t="n"/>
      <c r="Q172" s="110" t="n"/>
      <c r="R172" s="110" t="n"/>
      <c r="S172" s="110" t="n"/>
      <c r="T172" s="111" t="n"/>
      <c r="U172" s="194" t="n"/>
      <c r="V172" s="194" t="n"/>
      <c r="W172" s="194" t="n"/>
      <c r="X172" s="194" t="n"/>
      <c r="Y172" s="194" t="n"/>
      <c r="Z172" s="194" t="n"/>
      <c r="AA172" s="194" t="n"/>
      <c r="AB172" s="194" t="n"/>
      <c r="AC172" s="194" t="n"/>
      <c r="AD172" s="194" t="n"/>
      <c r="AE172" s="194" t="n"/>
      <c r="AF172" s="194" t="n"/>
      <c r="AG172" s="194" t="n"/>
      <c r="AH172" s="194" t="n"/>
      <c r="AI172" s="194" t="n"/>
      <c r="AJ172" s="194" t="n"/>
    </row>
    <row r="173" ht="12" customHeight="1" s="1">
      <c r="A173" s="194" t="n"/>
      <c r="B173" s="194" t="n"/>
      <c r="C173" s="194" t="n"/>
      <c r="D173" s="194" t="n"/>
      <c r="E173" s="194" t="n"/>
      <c r="F173" s="194" t="n"/>
      <c r="G173" s="194" t="n"/>
      <c r="H173" s="109" t="n"/>
      <c r="I173" s="110" t="n"/>
      <c r="J173" s="110" t="n"/>
      <c r="K173" s="110" t="n"/>
      <c r="L173" s="110" t="n"/>
      <c r="M173" s="110" t="n"/>
      <c r="N173" s="110" t="n"/>
      <c r="O173" s="110" t="n"/>
      <c r="P173" s="110" t="n"/>
      <c r="Q173" s="110" t="n"/>
      <c r="R173" s="110" t="n"/>
      <c r="S173" s="110" t="n"/>
      <c r="T173" s="111" t="n"/>
      <c r="U173" s="194" t="n"/>
      <c r="V173" s="194" t="n"/>
      <c r="W173" s="194" t="n"/>
      <c r="X173" s="194" t="n"/>
      <c r="Y173" s="194" t="n"/>
      <c r="Z173" s="194" t="n"/>
      <c r="AA173" s="194" t="n"/>
      <c r="AB173" s="194" t="n"/>
      <c r="AC173" s="194" t="n"/>
      <c r="AD173" s="194" t="n"/>
      <c r="AE173" s="194" t="n"/>
      <c r="AF173" s="194" t="n"/>
      <c r="AG173" s="194" t="n"/>
      <c r="AH173" s="194" t="n"/>
      <c r="AI173" s="194" t="n"/>
      <c r="AJ173" s="194" t="n"/>
    </row>
    <row r="174" ht="12" customHeight="1" s="1">
      <c r="A174" s="194" t="n"/>
      <c r="B174" s="194" t="n"/>
      <c r="C174" s="194" t="n"/>
      <c r="D174" s="194" t="n"/>
      <c r="E174" s="194" t="n"/>
      <c r="F174" s="194" t="n"/>
      <c r="G174" s="194" t="n"/>
      <c r="H174" s="109" t="n"/>
      <c r="I174" s="110" t="n"/>
      <c r="J174" s="110" t="n"/>
      <c r="K174" s="110" t="n"/>
      <c r="L174" s="110" t="n"/>
      <c r="M174" s="110" t="n"/>
      <c r="N174" s="110" t="n"/>
      <c r="O174" s="110" t="n"/>
      <c r="P174" s="110" t="n"/>
      <c r="Q174" s="110" t="n"/>
      <c r="R174" s="110" t="n"/>
      <c r="S174" s="110" t="n"/>
      <c r="T174" s="111" t="n"/>
      <c r="U174" s="194" t="n"/>
      <c r="V174" s="194" t="n"/>
      <c r="W174" s="194" t="n"/>
      <c r="X174" s="194" t="n"/>
      <c r="Y174" s="194" t="n"/>
      <c r="Z174" s="194" t="n"/>
      <c r="AA174" s="194" t="n"/>
      <c r="AB174" s="194" t="n"/>
      <c r="AC174" s="194" t="n"/>
      <c r="AD174" s="194" t="n"/>
      <c r="AE174" s="194" t="n"/>
      <c r="AF174" s="194" t="n"/>
      <c r="AG174" s="194" t="n"/>
      <c r="AH174" s="194" t="n"/>
      <c r="AI174" s="194" t="n"/>
      <c r="AJ174" s="194" t="n"/>
    </row>
    <row r="175" ht="12" customHeight="1" s="1">
      <c r="A175" s="194" t="n"/>
      <c r="B175" s="194" t="n"/>
      <c r="C175" s="194" t="n"/>
      <c r="D175" s="194" t="n"/>
      <c r="E175" s="194" t="n"/>
      <c r="F175" s="194" t="n"/>
      <c r="G175" s="194" t="n"/>
      <c r="H175" s="109" t="n"/>
      <c r="I175" s="110" t="n"/>
      <c r="J175" s="110" t="n"/>
      <c r="K175" s="110" t="n"/>
      <c r="L175" s="110" t="n"/>
      <c r="M175" s="110" t="n"/>
      <c r="N175" s="110" t="n"/>
      <c r="O175" s="110" t="n"/>
      <c r="P175" s="110" t="n"/>
      <c r="Q175" s="110" t="n"/>
      <c r="R175" s="110" t="n"/>
      <c r="S175" s="110" t="n"/>
      <c r="T175" s="111" t="n"/>
      <c r="U175" s="194" t="n"/>
      <c r="V175" s="194" t="n"/>
      <c r="W175" s="194" t="n"/>
      <c r="X175" s="194" t="n"/>
      <c r="Y175" s="194" t="n"/>
      <c r="Z175" s="194" t="n"/>
      <c r="AA175" s="194" t="n"/>
      <c r="AB175" s="194" t="n"/>
      <c r="AC175" s="194" t="n"/>
      <c r="AD175" s="194" t="n"/>
      <c r="AE175" s="194" t="n"/>
      <c r="AF175" s="194" t="n"/>
      <c r="AG175" s="194" t="n"/>
      <c r="AH175" s="194" t="n"/>
      <c r="AI175" s="194" t="n"/>
      <c r="AJ175" s="194" t="n"/>
    </row>
    <row r="176" ht="12" customHeight="1" s="1">
      <c r="A176" s="194" t="n"/>
      <c r="B176" s="194" t="n"/>
      <c r="C176" s="194" t="n"/>
      <c r="D176" s="194" t="n"/>
      <c r="E176" s="194" t="n"/>
      <c r="F176" s="194" t="n"/>
      <c r="G176" s="194" t="n"/>
      <c r="H176" s="109" t="n"/>
      <c r="I176" s="110" t="n"/>
      <c r="J176" s="110" t="n"/>
      <c r="K176" s="110" t="n"/>
      <c r="L176" s="110" t="n"/>
      <c r="M176" s="110" t="n"/>
      <c r="N176" s="110" t="n"/>
      <c r="O176" s="110" t="n"/>
      <c r="P176" s="110" t="n"/>
      <c r="Q176" s="110" t="n"/>
      <c r="R176" s="110" t="n"/>
      <c r="S176" s="110" t="n"/>
      <c r="T176" s="111" t="n"/>
      <c r="U176" s="194" t="n"/>
      <c r="V176" s="194" t="n"/>
      <c r="W176" s="194" t="n"/>
      <c r="X176" s="194" t="n"/>
      <c r="Y176" s="194" t="n"/>
      <c r="Z176" s="194" t="n"/>
      <c r="AA176" s="194" t="n"/>
      <c r="AB176" s="194" t="n"/>
      <c r="AC176" s="194" t="n"/>
      <c r="AD176" s="194" t="n"/>
      <c r="AE176" s="194" t="n"/>
      <c r="AF176" s="194" t="n"/>
      <c r="AG176" s="194" t="n"/>
      <c r="AH176" s="194" t="n"/>
      <c r="AI176" s="194" t="n"/>
      <c r="AJ176" s="194" t="n"/>
    </row>
    <row r="177" ht="12" customHeight="1" s="1">
      <c r="A177" s="194" t="n"/>
      <c r="B177" s="194" t="n"/>
      <c r="C177" s="194" t="n"/>
      <c r="D177" s="194" t="n"/>
      <c r="E177" s="194" t="n"/>
      <c r="F177" s="194" t="n"/>
      <c r="G177" s="194" t="n"/>
      <c r="H177" s="109" t="n"/>
      <c r="I177" s="110" t="n"/>
      <c r="J177" s="110" t="n"/>
      <c r="K177" s="110" t="n"/>
      <c r="L177" s="110" t="n"/>
      <c r="M177" s="110" t="n"/>
      <c r="N177" s="110" t="n"/>
      <c r="O177" s="110" t="n"/>
      <c r="P177" s="110" t="n"/>
      <c r="Q177" s="110" t="n"/>
      <c r="R177" s="110" t="n"/>
      <c r="S177" s="110" t="n"/>
      <c r="T177" s="111" t="n"/>
      <c r="U177" s="194" t="n"/>
      <c r="V177" s="194" t="n"/>
      <c r="W177" s="194" t="n"/>
      <c r="X177" s="194" t="n"/>
      <c r="Y177" s="194" t="n"/>
      <c r="Z177" s="194" t="n"/>
      <c r="AA177" s="194" t="n"/>
      <c r="AB177" s="194" t="n"/>
      <c r="AC177" s="194" t="n"/>
      <c r="AD177" s="194" t="n"/>
      <c r="AE177" s="194" t="n"/>
      <c r="AF177" s="194" t="n"/>
      <c r="AG177" s="194" t="n"/>
      <c r="AH177" s="194" t="n"/>
      <c r="AI177" s="194" t="n"/>
      <c r="AJ177" s="194" t="n"/>
    </row>
    <row r="178" ht="12" customHeight="1" s="1">
      <c r="A178" s="194" t="n"/>
      <c r="B178" s="194" t="n"/>
      <c r="C178" s="194" t="n"/>
      <c r="D178" s="194" t="n"/>
      <c r="E178" s="194" t="n"/>
      <c r="F178" s="194" t="n"/>
      <c r="G178" s="194" t="n"/>
      <c r="H178" s="109" t="n"/>
      <c r="I178" s="110" t="n"/>
      <c r="J178" s="110" t="n"/>
      <c r="K178" s="110" t="n"/>
      <c r="L178" s="110" t="n"/>
      <c r="M178" s="110" t="n"/>
      <c r="N178" s="110" t="n"/>
      <c r="O178" s="110" t="n"/>
      <c r="P178" s="110" t="n"/>
      <c r="Q178" s="110" t="n"/>
      <c r="R178" s="110" t="n"/>
      <c r="S178" s="110" t="n"/>
      <c r="T178" s="111" t="n"/>
      <c r="U178" s="194" t="n"/>
      <c r="V178" s="194" t="n"/>
      <c r="W178" s="194" t="n"/>
      <c r="X178" s="194" t="n"/>
      <c r="Y178" s="194" t="n"/>
      <c r="Z178" s="194" t="n"/>
      <c r="AA178" s="194" t="n"/>
      <c r="AB178" s="194" t="n"/>
      <c r="AC178" s="194" t="n"/>
      <c r="AD178" s="194" t="n"/>
      <c r="AE178" s="194" t="n"/>
      <c r="AF178" s="194" t="n"/>
      <c r="AG178" s="194" t="n"/>
      <c r="AH178" s="194" t="n"/>
      <c r="AI178" s="194" t="n"/>
      <c r="AJ178" s="194" t="n"/>
    </row>
    <row r="179" ht="12" customHeight="1" s="1">
      <c r="A179" s="194" t="n"/>
      <c r="B179" s="194" t="n"/>
      <c r="C179" s="194" t="n"/>
      <c r="D179" s="194" t="n"/>
      <c r="E179" s="194" t="n"/>
      <c r="F179" s="194" t="n"/>
      <c r="G179" s="194" t="n"/>
      <c r="H179" s="109" t="n"/>
      <c r="I179" s="110" t="n"/>
      <c r="J179" s="110" t="n"/>
      <c r="K179" s="110" t="n"/>
      <c r="L179" s="110" t="n"/>
      <c r="M179" s="110" t="n"/>
      <c r="N179" s="110" t="n"/>
      <c r="O179" s="110" t="n"/>
      <c r="P179" s="110" t="n"/>
      <c r="Q179" s="110" t="n"/>
      <c r="R179" s="110" t="n"/>
      <c r="S179" s="110" t="n"/>
      <c r="T179" s="111" t="n"/>
      <c r="U179" s="194" t="n"/>
      <c r="V179" s="194" t="n"/>
      <c r="W179" s="194" t="n"/>
      <c r="X179" s="194" t="n"/>
      <c r="Y179" s="194" t="n"/>
      <c r="Z179" s="194" t="n"/>
      <c r="AA179" s="194" t="n"/>
      <c r="AB179" s="194" t="n"/>
      <c r="AC179" s="194" t="n"/>
      <c r="AD179" s="194" t="n"/>
      <c r="AE179" s="194" t="n"/>
      <c r="AF179" s="194" t="n"/>
      <c r="AG179" s="194" t="n"/>
      <c r="AH179" s="194" t="n"/>
      <c r="AI179" s="194" t="n"/>
      <c r="AJ179" s="194" t="n"/>
    </row>
    <row r="180" ht="12" customHeight="1" s="1">
      <c r="A180" s="194" t="n"/>
      <c r="B180" s="194" t="n"/>
      <c r="C180" s="194" t="n"/>
      <c r="D180" s="194" t="n"/>
      <c r="E180" s="194" t="n"/>
      <c r="F180" s="194" t="n"/>
      <c r="G180" s="194" t="n"/>
      <c r="H180" s="109" t="n"/>
      <c r="I180" s="110" t="n"/>
      <c r="J180" s="110" t="n"/>
      <c r="K180" s="110" t="n"/>
      <c r="L180" s="110" t="n"/>
      <c r="M180" s="110" t="n"/>
      <c r="N180" s="110" t="n"/>
      <c r="O180" s="110" t="n"/>
      <c r="P180" s="110" t="n"/>
      <c r="Q180" s="110" t="n"/>
      <c r="R180" s="110" t="n"/>
      <c r="S180" s="110" t="n"/>
      <c r="T180" s="111" t="n"/>
      <c r="U180" s="194" t="n"/>
      <c r="V180" s="194" t="n"/>
      <c r="W180" s="194" t="n"/>
      <c r="X180" s="194" t="n"/>
      <c r="Y180" s="194" t="n"/>
      <c r="Z180" s="194" t="n"/>
      <c r="AA180" s="194" t="n"/>
      <c r="AB180" s="194" t="n"/>
      <c r="AC180" s="194" t="n"/>
      <c r="AD180" s="194" t="n"/>
      <c r="AE180" s="194" t="n"/>
      <c r="AF180" s="194" t="n"/>
      <c r="AG180" s="194" t="n"/>
      <c r="AH180" s="194" t="n"/>
      <c r="AI180" s="194" t="n"/>
      <c r="AJ180" s="194" t="n"/>
    </row>
    <row r="181" ht="12" customHeight="1" s="1">
      <c r="A181" s="194" t="n"/>
      <c r="B181" s="194" t="n"/>
      <c r="C181" s="194" t="n"/>
      <c r="D181" s="194" t="n"/>
      <c r="E181" s="194" t="n"/>
      <c r="F181" s="194" t="n"/>
      <c r="G181" s="194" t="n"/>
      <c r="H181" s="109" t="n"/>
      <c r="I181" s="110" t="n"/>
      <c r="J181" s="110" t="n"/>
      <c r="K181" s="110" t="n"/>
      <c r="L181" s="110" t="n"/>
      <c r="M181" s="110" t="n"/>
      <c r="N181" s="110" t="n"/>
      <c r="O181" s="110" t="n"/>
      <c r="P181" s="110" t="n"/>
      <c r="Q181" s="110" t="n"/>
      <c r="R181" s="110" t="n"/>
      <c r="S181" s="110" t="n"/>
      <c r="T181" s="111" t="n"/>
      <c r="U181" s="194" t="n"/>
      <c r="V181" s="194" t="n"/>
      <c r="W181" s="194" t="n"/>
      <c r="X181" s="194" t="n"/>
      <c r="Y181" s="194" t="n"/>
      <c r="Z181" s="194" t="n"/>
      <c r="AA181" s="194" t="n"/>
      <c r="AB181" s="194" t="n"/>
      <c r="AC181" s="194" t="n"/>
      <c r="AD181" s="194" t="n"/>
      <c r="AE181" s="194" t="n"/>
      <c r="AF181" s="194" t="n"/>
      <c r="AG181" s="194" t="n"/>
      <c r="AH181" s="194" t="n"/>
      <c r="AI181" s="194" t="n"/>
      <c r="AJ181" s="194" t="n"/>
    </row>
    <row r="182" ht="12" customHeight="1" s="1">
      <c r="A182" s="194" t="n"/>
      <c r="B182" s="194" t="n"/>
      <c r="C182" s="194" t="n"/>
      <c r="D182" s="194" t="n"/>
      <c r="E182" s="194" t="n"/>
      <c r="F182" s="194" t="n"/>
      <c r="G182" s="194" t="n"/>
      <c r="H182" s="109" t="n"/>
      <c r="I182" s="110" t="n"/>
      <c r="J182" s="110" t="n"/>
      <c r="K182" s="110" t="n"/>
      <c r="L182" s="110" t="n"/>
      <c r="M182" s="110" t="n"/>
      <c r="N182" s="110" t="n"/>
      <c r="O182" s="110" t="n"/>
      <c r="P182" s="110" t="n"/>
      <c r="Q182" s="110" t="n"/>
      <c r="R182" s="110" t="n"/>
      <c r="S182" s="110" t="n"/>
      <c r="T182" s="111" t="n"/>
      <c r="U182" s="194" t="n"/>
      <c r="V182" s="194" t="n"/>
      <c r="W182" s="194" t="n"/>
      <c r="X182" s="194" t="n"/>
      <c r="Y182" s="194" t="n"/>
      <c r="Z182" s="194" t="n"/>
      <c r="AA182" s="194" t="n"/>
      <c r="AB182" s="194" t="n"/>
      <c r="AC182" s="194" t="n"/>
      <c r="AD182" s="194" t="n"/>
      <c r="AE182" s="194" t="n"/>
      <c r="AF182" s="194" t="n"/>
      <c r="AG182" s="194" t="n"/>
      <c r="AH182" s="194" t="n"/>
      <c r="AI182" s="194" t="n"/>
      <c r="AJ182" s="194" t="n"/>
    </row>
    <row r="183" ht="12" customHeight="1" s="1">
      <c r="A183" s="194" t="n"/>
      <c r="B183" s="194" t="n"/>
      <c r="C183" s="194" t="n"/>
      <c r="D183" s="194" t="n"/>
      <c r="E183" s="194" t="n"/>
      <c r="F183" s="194" t="n"/>
      <c r="G183" s="194" t="n"/>
      <c r="H183" s="109" t="n"/>
      <c r="I183" s="110" t="n"/>
      <c r="J183" s="110" t="n"/>
      <c r="K183" s="110" t="n"/>
      <c r="L183" s="110" t="n"/>
      <c r="M183" s="110" t="n"/>
      <c r="N183" s="110" t="n"/>
      <c r="O183" s="110" t="n"/>
      <c r="P183" s="110" t="n"/>
      <c r="Q183" s="110" t="n"/>
      <c r="R183" s="110" t="n"/>
      <c r="S183" s="110" t="n"/>
      <c r="T183" s="111" t="n"/>
      <c r="U183" s="194" t="n"/>
      <c r="V183" s="194" t="n"/>
      <c r="W183" s="194" t="n"/>
      <c r="X183" s="194" t="n"/>
      <c r="Y183" s="194" t="n"/>
      <c r="Z183" s="194" t="n"/>
      <c r="AA183" s="194" t="n"/>
      <c r="AB183" s="194" t="n"/>
      <c r="AC183" s="194" t="n"/>
      <c r="AD183" s="194" t="n"/>
      <c r="AE183" s="194" t="n"/>
      <c r="AF183" s="194" t="n"/>
      <c r="AG183" s="194" t="n"/>
      <c r="AH183" s="194" t="n"/>
      <c r="AI183" s="194" t="n"/>
      <c r="AJ183" s="194" t="n"/>
    </row>
    <row r="184" ht="12" customHeight="1" s="1">
      <c r="A184" s="194" t="n"/>
      <c r="B184" s="194" t="n"/>
      <c r="C184" s="194" t="n"/>
      <c r="D184" s="194" t="n"/>
      <c r="E184" s="194" t="n"/>
      <c r="F184" s="194" t="n"/>
      <c r="G184" s="194" t="n"/>
      <c r="H184" s="109" t="n"/>
      <c r="I184" s="110" t="n"/>
      <c r="J184" s="110" t="n"/>
      <c r="K184" s="110" t="n"/>
      <c r="L184" s="110" t="n"/>
      <c r="M184" s="110" t="n"/>
      <c r="N184" s="110" t="n"/>
      <c r="O184" s="110" t="n"/>
      <c r="P184" s="110" t="n"/>
      <c r="Q184" s="110" t="n"/>
      <c r="R184" s="110" t="n"/>
      <c r="S184" s="110" t="n"/>
      <c r="T184" s="111" t="n"/>
      <c r="U184" s="194" t="n"/>
      <c r="V184" s="194" t="n"/>
      <c r="W184" s="194" t="n"/>
      <c r="X184" s="194" t="n"/>
      <c r="Y184" s="194" t="n"/>
      <c r="Z184" s="194" t="n"/>
      <c r="AA184" s="194" t="n"/>
      <c r="AB184" s="194" t="n"/>
      <c r="AC184" s="194" t="n"/>
      <c r="AD184" s="194" t="n"/>
      <c r="AE184" s="194" t="n"/>
      <c r="AF184" s="194" t="n"/>
      <c r="AG184" s="194" t="n"/>
      <c r="AH184" s="194" t="n"/>
      <c r="AI184" s="194" t="n"/>
      <c r="AJ184" s="194" t="n"/>
    </row>
    <row r="185" ht="12" customHeight="1" s="1">
      <c r="A185" s="194" t="n"/>
      <c r="B185" s="194" t="n"/>
      <c r="C185" s="194" t="n"/>
      <c r="D185" s="194" t="n"/>
      <c r="E185" s="194" t="n"/>
      <c r="F185" s="194" t="n"/>
      <c r="G185" s="194" t="n"/>
      <c r="H185" s="109" t="n"/>
      <c r="I185" s="110" t="n"/>
      <c r="J185" s="110" t="n"/>
      <c r="K185" s="110" t="n"/>
      <c r="L185" s="110" t="n"/>
      <c r="M185" s="110" t="n"/>
      <c r="N185" s="110" t="n"/>
      <c r="O185" s="110" t="n"/>
      <c r="P185" s="110" t="n"/>
      <c r="Q185" s="110" t="n"/>
      <c r="R185" s="110" t="n"/>
      <c r="S185" s="110" t="n"/>
      <c r="T185" s="111" t="n"/>
      <c r="U185" s="194" t="n"/>
      <c r="V185" s="194" t="n"/>
      <c r="W185" s="194" t="n"/>
      <c r="X185" s="194" t="n"/>
      <c r="Y185" s="194" t="n"/>
      <c r="Z185" s="194" t="n"/>
      <c r="AA185" s="194" t="n"/>
      <c r="AB185" s="194" t="n"/>
      <c r="AC185" s="194" t="n"/>
      <c r="AD185" s="194" t="n"/>
      <c r="AE185" s="194" t="n"/>
      <c r="AF185" s="194" t="n"/>
      <c r="AG185" s="194" t="n"/>
      <c r="AH185" s="194" t="n"/>
      <c r="AI185" s="194" t="n"/>
      <c r="AJ185" s="194" t="n"/>
    </row>
    <row r="186" ht="12" customHeight="1" s="1">
      <c r="A186" s="194" t="n"/>
      <c r="B186" s="194" t="n"/>
      <c r="C186" s="194" t="n"/>
      <c r="D186" s="194" t="n"/>
      <c r="E186" s="194" t="n"/>
      <c r="F186" s="194" t="n"/>
      <c r="G186" s="194" t="n"/>
      <c r="H186" s="109" t="n"/>
      <c r="I186" s="110" t="n"/>
      <c r="J186" s="110" t="n"/>
      <c r="K186" s="110" t="n"/>
      <c r="L186" s="110" t="n"/>
      <c r="M186" s="110" t="n"/>
      <c r="N186" s="110" t="n"/>
      <c r="O186" s="110" t="n"/>
      <c r="P186" s="110" t="n"/>
      <c r="Q186" s="110" t="n"/>
      <c r="R186" s="110" t="n"/>
      <c r="S186" s="110" t="n"/>
      <c r="T186" s="111" t="n"/>
      <c r="U186" s="194" t="n"/>
      <c r="V186" s="194" t="n"/>
      <c r="W186" s="194" t="n"/>
      <c r="X186" s="194" t="n"/>
      <c r="Y186" s="194" t="n"/>
      <c r="Z186" s="194" t="n"/>
      <c r="AA186" s="194" t="n"/>
      <c r="AB186" s="194" t="n"/>
      <c r="AC186" s="194" t="n"/>
      <c r="AD186" s="194" t="n"/>
      <c r="AE186" s="194" t="n"/>
      <c r="AF186" s="194" t="n"/>
      <c r="AG186" s="194" t="n"/>
      <c r="AH186" s="194" t="n"/>
      <c r="AI186" s="194" t="n"/>
      <c r="AJ186" s="194" t="n"/>
    </row>
    <row r="187" ht="12" customHeight="1" s="1">
      <c r="A187" s="194" t="n"/>
      <c r="B187" s="194" t="n"/>
      <c r="C187" s="194" t="n"/>
      <c r="D187" s="194" t="n"/>
      <c r="E187" s="194" t="n"/>
      <c r="F187" s="194" t="n"/>
      <c r="G187" s="194" t="n"/>
      <c r="H187" s="109" t="n"/>
      <c r="I187" s="110" t="n"/>
      <c r="J187" s="110" t="n"/>
      <c r="K187" s="110" t="n"/>
      <c r="L187" s="110" t="n"/>
      <c r="M187" s="110" t="n"/>
      <c r="N187" s="110" t="n"/>
      <c r="O187" s="110" t="n"/>
      <c r="P187" s="110" t="n"/>
      <c r="Q187" s="110" t="n"/>
      <c r="R187" s="110" t="n"/>
      <c r="S187" s="110" t="n"/>
      <c r="T187" s="111" t="n"/>
      <c r="U187" s="194" t="n"/>
      <c r="V187" s="194" t="n"/>
      <c r="W187" s="194" t="n"/>
      <c r="X187" s="194" t="n"/>
      <c r="Y187" s="194" t="n"/>
      <c r="Z187" s="194" t="n"/>
      <c r="AA187" s="194" t="n"/>
      <c r="AB187" s="194" t="n"/>
      <c r="AC187" s="194" t="n"/>
      <c r="AD187" s="194" t="n"/>
      <c r="AE187" s="194" t="n"/>
      <c r="AF187" s="194" t="n"/>
      <c r="AG187" s="194" t="n"/>
      <c r="AH187" s="194" t="n"/>
      <c r="AI187" s="194" t="n"/>
      <c r="AJ187" s="194" t="n"/>
    </row>
    <row r="188" ht="12" customHeight="1" s="1">
      <c r="A188" s="194" t="n"/>
      <c r="B188" s="194" t="n"/>
      <c r="C188" s="194" t="n"/>
      <c r="D188" s="194" t="n"/>
      <c r="E188" s="194" t="n"/>
      <c r="F188" s="194" t="n"/>
      <c r="G188" s="194" t="n"/>
      <c r="H188" s="109" t="n"/>
      <c r="I188" s="110" t="n"/>
      <c r="J188" s="110" t="n"/>
      <c r="K188" s="110" t="n"/>
      <c r="L188" s="110" t="n"/>
      <c r="M188" s="110" t="n"/>
      <c r="N188" s="110" t="n"/>
      <c r="O188" s="110" t="n"/>
      <c r="P188" s="110" t="n"/>
      <c r="Q188" s="110" t="n"/>
      <c r="R188" s="110" t="n"/>
      <c r="S188" s="110" t="n"/>
      <c r="T188" s="111" t="n"/>
      <c r="U188" s="194" t="n"/>
      <c r="V188" s="194" t="n"/>
      <c r="W188" s="194" t="n"/>
      <c r="X188" s="194" t="n"/>
      <c r="Y188" s="194" t="n"/>
      <c r="Z188" s="194" t="n"/>
      <c r="AA188" s="194" t="n"/>
      <c r="AB188" s="194" t="n"/>
      <c r="AC188" s="194" t="n"/>
      <c r="AD188" s="194" t="n"/>
      <c r="AE188" s="194" t="n"/>
      <c r="AF188" s="194" t="n"/>
      <c r="AG188" s="194" t="n"/>
      <c r="AH188" s="194" t="n"/>
      <c r="AI188" s="194" t="n"/>
      <c r="AJ188" s="194" t="n"/>
    </row>
    <row r="189" ht="12" customHeight="1" s="1">
      <c r="A189" s="194" t="n"/>
      <c r="B189" s="194" t="n"/>
      <c r="C189" s="194" t="n"/>
      <c r="D189" s="194" t="n"/>
      <c r="E189" s="194" t="n"/>
      <c r="F189" s="194" t="n"/>
      <c r="G189" s="194" t="n"/>
      <c r="H189" s="109" t="n"/>
      <c r="I189" s="110" t="n"/>
      <c r="J189" s="110" t="n"/>
      <c r="K189" s="110" t="n"/>
      <c r="L189" s="110" t="n"/>
      <c r="M189" s="110" t="n"/>
      <c r="N189" s="110" t="n"/>
      <c r="O189" s="110" t="n"/>
      <c r="P189" s="110" t="n"/>
      <c r="Q189" s="110" t="n"/>
      <c r="R189" s="110" t="n"/>
      <c r="S189" s="110" t="n"/>
      <c r="T189" s="111" t="n"/>
      <c r="U189" s="194" t="n"/>
      <c r="V189" s="194" t="n"/>
      <c r="W189" s="194" t="n"/>
      <c r="X189" s="194" t="n"/>
      <c r="Y189" s="194" t="n"/>
      <c r="Z189" s="194" t="n"/>
      <c r="AA189" s="194" t="n"/>
      <c r="AB189" s="194" t="n"/>
      <c r="AC189" s="194" t="n"/>
      <c r="AD189" s="194" t="n"/>
      <c r="AE189" s="194" t="n"/>
      <c r="AF189" s="194" t="n"/>
      <c r="AG189" s="194" t="n"/>
      <c r="AH189" s="194" t="n"/>
      <c r="AI189" s="194" t="n"/>
      <c r="AJ189" s="194" t="n"/>
    </row>
    <row r="190" ht="12" customHeight="1" s="1">
      <c r="A190" s="194" t="n"/>
      <c r="B190" s="194" t="n"/>
      <c r="C190" s="194" t="n"/>
      <c r="D190" s="194" t="n"/>
      <c r="E190" s="194" t="n"/>
      <c r="F190" s="194" t="n"/>
      <c r="G190" s="194" t="n"/>
      <c r="H190" s="109" t="n"/>
      <c r="I190" s="110" t="n"/>
      <c r="J190" s="110" t="n"/>
      <c r="K190" s="110" t="n"/>
      <c r="L190" s="110" t="n"/>
      <c r="M190" s="110" t="n"/>
      <c r="N190" s="110" t="n"/>
      <c r="O190" s="110" t="n"/>
      <c r="P190" s="110" t="n"/>
      <c r="Q190" s="110" t="n"/>
      <c r="R190" s="110" t="n"/>
      <c r="S190" s="110" t="n"/>
      <c r="T190" s="111" t="n"/>
      <c r="U190" s="194" t="n"/>
      <c r="V190" s="194" t="n"/>
      <c r="W190" s="194" t="n"/>
      <c r="X190" s="194" t="n"/>
      <c r="Y190" s="194" t="n"/>
      <c r="Z190" s="194" t="n"/>
      <c r="AA190" s="194" t="n"/>
      <c r="AB190" s="194" t="n"/>
      <c r="AC190" s="194" t="n"/>
      <c r="AD190" s="194" t="n"/>
      <c r="AE190" s="194" t="n"/>
      <c r="AF190" s="194" t="n"/>
      <c r="AG190" s="194" t="n"/>
      <c r="AH190" s="194" t="n"/>
      <c r="AI190" s="194" t="n"/>
      <c r="AJ190" s="194" t="n"/>
    </row>
    <row r="191" ht="12" customHeight="1" s="1">
      <c r="A191" s="194" t="n"/>
      <c r="B191" s="194" t="n"/>
      <c r="C191" s="194" t="n"/>
      <c r="D191" s="194" t="n"/>
      <c r="E191" s="194" t="n"/>
      <c r="F191" s="194" t="n"/>
      <c r="G191" s="194" t="n"/>
      <c r="H191" s="109" t="n"/>
      <c r="I191" s="110" t="n"/>
      <c r="J191" s="110" t="n"/>
      <c r="K191" s="110" t="n"/>
      <c r="L191" s="110" t="n"/>
      <c r="M191" s="110" t="n"/>
      <c r="N191" s="110" t="n"/>
      <c r="O191" s="110" t="n"/>
      <c r="P191" s="110" t="n"/>
      <c r="Q191" s="110" t="n"/>
      <c r="R191" s="110" t="n"/>
      <c r="S191" s="110" t="n"/>
      <c r="T191" s="111" t="n"/>
      <c r="U191" s="194" t="n"/>
      <c r="V191" s="194" t="n"/>
      <c r="W191" s="194" t="n"/>
      <c r="X191" s="194" t="n"/>
      <c r="Y191" s="194" t="n"/>
      <c r="Z191" s="194" t="n"/>
      <c r="AA191" s="194" t="n"/>
      <c r="AB191" s="194" t="n"/>
      <c r="AC191" s="194" t="n"/>
      <c r="AD191" s="194" t="n"/>
      <c r="AE191" s="194" t="n"/>
      <c r="AF191" s="194" t="n"/>
      <c r="AG191" s="194" t="n"/>
      <c r="AH191" s="194" t="n"/>
      <c r="AI191" s="194" t="n"/>
      <c r="AJ191" s="194" t="n"/>
    </row>
    <row r="192" ht="12" customHeight="1" s="1">
      <c r="A192" s="194" t="n"/>
      <c r="B192" s="194" t="n"/>
      <c r="C192" s="194" t="n"/>
      <c r="D192" s="194" t="n"/>
      <c r="E192" s="194" t="n"/>
      <c r="F192" s="194" t="n"/>
      <c r="G192" s="194" t="n"/>
      <c r="H192" s="109" t="n"/>
      <c r="I192" s="110" t="n"/>
      <c r="J192" s="110" t="n"/>
      <c r="K192" s="110" t="n"/>
      <c r="L192" s="110" t="n"/>
      <c r="M192" s="110" t="n"/>
      <c r="N192" s="110" t="n"/>
      <c r="O192" s="110" t="n"/>
      <c r="P192" s="110" t="n"/>
      <c r="Q192" s="110" t="n"/>
      <c r="R192" s="110" t="n"/>
      <c r="S192" s="110" t="n"/>
      <c r="T192" s="111" t="n"/>
      <c r="U192" s="194" t="n"/>
      <c r="V192" s="194" t="n"/>
      <c r="W192" s="194" t="n"/>
      <c r="X192" s="194" t="n"/>
      <c r="Y192" s="194" t="n"/>
      <c r="Z192" s="194" t="n"/>
      <c r="AA192" s="194" t="n"/>
      <c r="AB192" s="194" t="n"/>
      <c r="AC192" s="194" t="n"/>
      <c r="AD192" s="194" t="n"/>
      <c r="AE192" s="194" t="n"/>
      <c r="AF192" s="194" t="n"/>
      <c r="AG192" s="194" t="n"/>
      <c r="AH192" s="194" t="n"/>
      <c r="AI192" s="194" t="n"/>
      <c r="AJ192" s="194" t="n"/>
    </row>
    <row r="193" ht="12" customHeight="1" s="1">
      <c r="A193" s="194" t="n"/>
      <c r="B193" s="194" t="n"/>
      <c r="C193" s="194" t="n"/>
      <c r="D193" s="194" t="n"/>
      <c r="E193" s="194" t="n"/>
      <c r="F193" s="194" t="n"/>
      <c r="G193" s="194" t="n"/>
      <c r="H193" s="109" t="n"/>
      <c r="I193" s="110" t="n"/>
      <c r="J193" s="110" t="n"/>
      <c r="K193" s="110" t="n"/>
      <c r="L193" s="110" t="n"/>
      <c r="M193" s="110" t="n"/>
      <c r="N193" s="110" t="n"/>
      <c r="O193" s="110" t="n"/>
      <c r="P193" s="110" t="n"/>
      <c r="Q193" s="110" t="n"/>
      <c r="R193" s="110" t="n"/>
      <c r="S193" s="110" t="n"/>
      <c r="T193" s="111" t="n"/>
      <c r="U193" s="194" t="n"/>
      <c r="V193" s="194" t="n"/>
      <c r="W193" s="194" t="n"/>
      <c r="X193" s="194" t="n"/>
      <c r="Y193" s="194" t="n"/>
      <c r="Z193" s="194" t="n"/>
      <c r="AA193" s="194" t="n"/>
      <c r="AB193" s="194" t="n"/>
      <c r="AC193" s="194" t="n"/>
      <c r="AD193" s="194" t="n"/>
      <c r="AE193" s="194" t="n"/>
      <c r="AF193" s="194" t="n"/>
      <c r="AG193" s="194" t="n"/>
      <c r="AH193" s="194" t="n"/>
      <c r="AI193" s="194" t="n"/>
      <c r="AJ193" s="194" t="n"/>
    </row>
    <row r="194" ht="12" customHeight="1" s="1">
      <c r="A194" s="194" t="n"/>
      <c r="B194" s="194" t="n"/>
      <c r="C194" s="194" t="n"/>
      <c r="D194" s="194" t="n"/>
      <c r="E194" s="194" t="n"/>
      <c r="F194" s="194" t="n"/>
      <c r="G194" s="194" t="n"/>
      <c r="H194" s="109" t="n"/>
      <c r="I194" s="110" t="n"/>
      <c r="J194" s="110" t="n"/>
      <c r="K194" s="110" t="n"/>
      <c r="L194" s="110" t="n"/>
      <c r="M194" s="110" t="n"/>
      <c r="N194" s="110" t="n"/>
      <c r="O194" s="110" t="n"/>
      <c r="P194" s="110" t="n"/>
      <c r="Q194" s="110" t="n"/>
      <c r="R194" s="110" t="n"/>
      <c r="S194" s="110" t="n"/>
      <c r="T194" s="111" t="n"/>
      <c r="U194" s="194" t="n"/>
      <c r="V194" s="194" t="n"/>
      <c r="W194" s="194" t="n"/>
      <c r="X194" s="194" t="n"/>
      <c r="Y194" s="194" t="n"/>
      <c r="Z194" s="194" t="n"/>
      <c r="AA194" s="194" t="n"/>
      <c r="AB194" s="194" t="n"/>
      <c r="AC194" s="194" t="n"/>
      <c r="AD194" s="194" t="n"/>
      <c r="AE194" s="194" t="n"/>
      <c r="AF194" s="194" t="n"/>
      <c r="AG194" s="194" t="n"/>
      <c r="AH194" s="194" t="n"/>
      <c r="AI194" s="194" t="n"/>
      <c r="AJ194" s="194" t="n"/>
    </row>
    <row r="195" ht="12" customHeight="1" s="1">
      <c r="A195" s="194" t="n"/>
      <c r="B195" s="194" t="n"/>
      <c r="C195" s="194" t="n"/>
      <c r="D195" s="194" t="n"/>
      <c r="E195" s="194" t="n"/>
      <c r="F195" s="194" t="n"/>
      <c r="G195" s="194" t="n"/>
      <c r="H195" s="109" t="n"/>
      <c r="I195" s="110" t="n"/>
      <c r="J195" s="110" t="n"/>
      <c r="K195" s="110" t="n"/>
      <c r="L195" s="110" t="n"/>
      <c r="M195" s="110" t="n"/>
      <c r="N195" s="110" t="n"/>
      <c r="O195" s="110" t="n"/>
      <c r="P195" s="110" t="n"/>
      <c r="Q195" s="110" t="n"/>
      <c r="R195" s="110" t="n"/>
      <c r="S195" s="110" t="n"/>
      <c r="T195" s="111" t="n"/>
      <c r="U195" s="194" t="n"/>
      <c r="V195" s="194" t="n"/>
      <c r="W195" s="194" t="n"/>
      <c r="X195" s="194" t="n"/>
      <c r="Y195" s="194" t="n"/>
      <c r="Z195" s="194" t="n"/>
      <c r="AA195" s="194" t="n"/>
      <c r="AB195" s="194" t="n"/>
      <c r="AC195" s="194" t="n"/>
      <c r="AD195" s="194" t="n"/>
      <c r="AE195" s="194" t="n"/>
      <c r="AF195" s="194" t="n"/>
      <c r="AG195" s="194" t="n"/>
      <c r="AH195" s="194" t="n"/>
      <c r="AI195" s="194" t="n"/>
      <c r="AJ195" s="194" t="n"/>
    </row>
    <row r="196" ht="12" customHeight="1" s="1">
      <c r="A196" s="194" t="n"/>
      <c r="B196" s="194" t="n"/>
      <c r="C196" s="194" t="n"/>
      <c r="D196" s="194" t="n"/>
      <c r="E196" s="194" t="n"/>
      <c r="F196" s="194" t="n"/>
      <c r="G196" s="194" t="n"/>
      <c r="H196" s="109" t="n"/>
      <c r="I196" s="110" t="n"/>
      <c r="J196" s="110" t="n"/>
      <c r="K196" s="110" t="n"/>
      <c r="L196" s="110" t="n"/>
      <c r="M196" s="110" t="n"/>
      <c r="N196" s="110" t="n"/>
      <c r="O196" s="110" t="n"/>
      <c r="P196" s="110" t="n"/>
      <c r="Q196" s="110" t="n"/>
      <c r="R196" s="110" t="n"/>
      <c r="S196" s="110" t="n"/>
      <c r="T196" s="111" t="n"/>
      <c r="U196" s="194" t="n"/>
      <c r="V196" s="194" t="n"/>
      <c r="W196" s="194" t="n"/>
      <c r="X196" s="194" t="n"/>
      <c r="Y196" s="194" t="n"/>
      <c r="Z196" s="194" t="n"/>
      <c r="AA196" s="194" t="n"/>
      <c r="AB196" s="194" t="n"/>
      <c r="AC196" s="194" t="n"/>
      <c r="AD196" s="194" t="n"/>
      <c r="AE196" s="194" t="n"/>
      <c r="AF196" s="194" t="n"/>
      <c r="AG196" s="194" t="n"/>
      <c r="AH196" s="194" t="n"/>
      <c r="AI196" s="194" t="n"/>
      <c r="AJ196" s="194" t="n"/>
    </row>
    <row r="197" ht="12" customHeight="1" s="1">
      <c r="A197" s="194" t="n"/>
      <c r="B197" s="194" t="n"/>
      <c r="C197" s="194" t="n"/>
      <c r="D197" s="194" t="n"/>
      <c r="E197" s="194" t="n"/>
      <c r="F197" s="194" t="n"/>
      <c r="G197" s="194" t="n"/>
      <c r="H197" s="109" t="n"/>
      <c r="I197" s="110" t="n"/>
      <c r="J197" s="110" t="n"/>
      <c r="K197" s="110" t="n"/>
      <c r="L197" s="110" t="n"/>
      <c r="M197" s="110" t="n"/>
      <c r="N197" s="110" t="n"/>
      <c r="O197" s="110" t="n"/>
      <c r="P197" s="110" t="n"/>
      <c r="Q197" s="110" t="n"/>
      <c r="R197" s="110" t="n"/>
      <c r="S197" s="110" t="n"/>
      <c r="T197" s="111" t="n"/>
      <c r="U197" s="194" t="n"/>
      <c r="V197" s="194" t="n"/>
      <c r="W197" s="194" t="n"/>
      <c r="X197" s="194" t="n"/>
      <c r="Y197" s="194" t="n"/>
      <c r="Z197" s="194" t="n"/>
      <c r="AA197" s="194" t="n"/>
      <c r="AB197" s="194" t="n"/>
      <c r="AC197" s="194" t="n"/>
      <c r="AD197" s="194" t="n"/>
      <c r="AE197" s="194" t="n"/>
      <c r="AF197" s="194" t="n"/>
      <c r="AG197" s="194" t="n"/>
      <c r="AH197" s="194" t="n"/>
      <c r="AI197" s="194" t="n"/>
      <c r="AJ197" s="194" t="n"/>
    </row>
    <row r="198" ht="12" customHeight="1" s="1">
      <c r="A198" s="194" t="n"/>
      <c r="B198" s="194" t="n"/>
      <c r="C198" s="194" t="n"/>
      <c r="D198" s="194" t="n"/>
      <c r="E198" s="194" t="n"/>
      <c r="F198" s="194" t="n"/>
      <c r="G198" s="194" t="n"/>
      <c r="H198" s="109" t="n"/>
      <c r="I198" s="110" t="n"/>
      <c r="J198" s="110" t="n"/>
      <c r="K198" s="110" t="n"/>
      <c r="L198" s="110" t="n"/>
      <c r="M198" s="110" t="n"/>
      <c r="N198" s="110" t="n"/>
      <c r="O198" s="110" t="n"/>
      <c r="P198" s="110" t="n"/>
      <c r="Q198" s="110" t="n"/>
      <c r="R198" s="110" t="n"/>
      <c r="S198" s="110" t="n"/>
      <c r="T198" s="111" t="n"/>
      <c r="U198" s="194" t="n"/>
      <c r="V198" s="194" t="n"/>
      <c r="W198" s="194" t="n"/>
      <c r="X198" s="194" t="n"/>
      <c r="Y198" s="194" t="n"/>
      <c r="Z198" s="194" t="n"/>
      <c r="AA198" s="194" t="n"/>
      <c r="AB198" s="194" t="n"/>
      <c r="AC198" s="194" t="n"/>
      <c r="AD198" s="194" t="n"/>
      <c r="AE198" s="194" t="n"/>
      <c r="AF198" s="194" t="n"/>
      <c r="AG198" s="194" t="n"/>
      <c r="AH198" s="194" t="n"/>
      <c r="AI198" s="194" t="n"/>
      <c r="AJ198" s="194" t="n"/>
    </row>
    <row r="199" ht="12" customHeight="1" s="1">
      <c r="A199" s="194" t="n"/>
      <c r="B199" s="194" t="n"/>
      <c r="C199" s="194" t="n"/>
      <c r="D199" s="194" t="n"/>
      <c r="E199" s="194" t="n"/>
      <c r="F199" s="194" t="n"/>
      <c r="G199" s="194" t="n"/>
      <c r="H199" s="109" t="n"/>
      <c r="I199" s="110" t="n"/>
      <c r="J199" s="110" t="n"/>
      <c r="K199" s="110" t="n"/>
      <c r="L199" s="110" t="n"/>
      <c r="M199" s="110" t="n"/>
      <c r="N199" s="110" t="n"/>
      <c r="O199" s="110" t="n"/>
      <c r="P199" s="110" t="n"/>
      <c r="Q199" s="110" t="n"/>
      <c r="R199" s="110" t="n"/>
      <c r="S199" s="110" t="n"/>
      <c r="T199" s="111" t="n"/>
      <c r="U199" s="194" t="n"/>
      <c r="V199" s="194" t="n"/>
      <c r="W199" s="194" t="n"/>
      <c r="X199" s="194" t="n"/>
      <c r="Y199" s="194" t="n"/>
      <c r="Z199" s="194" t="n"/>
      <c r="AA199" s="194" t="n"/>
      <c r="AB199" s="194" t="n"/>
      <c r="AC199" s="194" t="n"/>
      <c r="AD199" s="194" t="n"/>
      <c r="AE199" s="194" t="n"/>
      <c r="AF199" s="194" t="n"/>
      <c r="AG199" s="194" t="n"/>
      <c r="AH199" s="194" t="n"/>
      <c r="AI199" s="194" t="n"/>
      <c r="AJ199" s="194" t="n"/>
    </row>
    <row r="200" ht="12" customHeight="1" s="1">
      <c r="A200" s="194" t="n"/>
      <c r="B200" s="194" t="n"/>
      <c r="C200" s="194" t="n"/>
      <c r="D200" s="194" t="n"/>
      <c r="E200" s="194" t="n"/>
      <c r="F200" s="194" t="n"/>
      <c r="G200" s="194" t="n"/>
      <c r="H200" s="109" t="n"/>
      <c r="I200" s="110" t="n"/>
      <c r="J200" s="110" t="n"/>
      <c r="K200" s="110" t="n"/>
      <c r="L200" s="110" t="n"/>
      <c r="M200" s="110" t="n"/>
      <c r="N200" s="110" t="n"/>
      <c r="O200" s="110" t="n"/>
      <c r="P200" s="110" t="n"/>
      <c r="Q200" s="110" t="n"/>
      <c r="R200" s="110" t="n"/>
      <c r="S200" s="110" t="n"/>
      <c r="T200" s="111" t="n"/>
      <c r="U200" s="194" t="n"/>
      <c r="V200" s="194" t="n"/>
      <c r="W200" s="194" t="n"/>
      <c r="X200" s="194" t="n"/>
      <c r="Y200" s="194" t="n"/>
      <c r="Z200" s="194" t="n"/>
      <c r="AA200" s="194" t="n"/>
      <c r="AB200" s="194" t="n"/>
      <c r="AC200" s="194" t="n"/>
      <c r="AD200" s="194" t="n"/>
      <c r="AE200" s="194" t="n"/>
      <c r="AF200" s="194" t="n"/>
      <c r="AG200" s="194" t="n"/>
      <c r="AH200" s="194" t="n"/>
      <c r="AI200" s="194" t="n"/>
      <c r="AJ200" s="194" t="n"/>
    </row>
    <row r="201" ht="12" customHeight="1" s="1">
      <c r="A201" s="194" t="n"/>
      <c r="B201" s="194" t="n"/>
      <c r="C201" s="194" t="n"/>
      <c r="D201" s="194" t="n"/>
      <c r="E201" s="194" t="n"/>
      <c r="F201" s="194" t="n"/>
      <c r="G201" s="194" t="n"/>
      <c r="H201" s="109" t="n"/>
      <c r="I201" s="110" t="n"/>
      <c r="J201" s="110" t="n"/>
      <c r="K201" s="110" t="n"/>
      <c r="L201" s="110" t="n"/>
      <c r="M201" s="110" t="n"/>
      <c r="N201" s="110" t="n"/>
      <c r="O201" s="110" t="n"/>
      <c r="P201" s="110" t="n"/>
      <c r="Q201" s="110" t="n"/>
      <c r="R201" s="110" t="n"/>
      <c r="S201" s="110" t="n"/>
      <c r="T201" s="111" t="n"/>
      <c r="U201" s="194" t="n"/>
      <c r="V201" s="194" t="n"/>
      <c r="W201" s="194" t="n"/>
      <c r="X201" s="194" t="n"/>
      <c r="Y201" s="194" t="n"/>
      <c r="Z201" s="194" t="n"/>
      <c r="AA201" s="194" t="n"/>
      <c r="AB201" s="194" t="n"/>
      <c r="AC201" s="194" t="n"/>
      <c r="AD201" s="194" t="n"/>
      <c r="AE201" s="194" t="n"/>
      <c r="AF201" s="194" t="n"/>
      <c r="AG201" s="194" t="n"/>
      <c r="AH201" s="194" t="n"/>
      <c r="AI201" s="194" t="n"/>
      <c r="AJ201" s="194" t="n"/>
    </row>
    <row r="202" ht="12" customHeight="1" s="1">
      <c r="A202" s="194" t="n"/>
      <c r="B202" s="194" t="n"/>
      <c r="C202" s="194" t="n"/>
      <c r="D202" s="194" t="n"/>
      <c r="E202" s="194" t="n"/>
      <c r="F202" s="194" t="n"/>
      <c r="G202" s="194" t="n"/>
      <c r="H202" s="109" t="n"/>
      <c r="I202" s="110" t="n"/>
      <c r="J202" s="110" t="n"/>
      <c r="K202" s="110" t="n"/>
      <c r="L202" s="110" t="n"/>
      <c r="M202" s="110" t="n"/>
      <c r="N202" s="110" t="n"/>
      <c r="O202" s="110" t="n"/>
      <c r="P202" s="110" t="n"/>
      <c r="Q202" s="110" t="n"/>
      <c r="R202" s="110" t="n"/>
      <c r="S202" s="110" t="n"/>
      <c r="T202" s="111" t="n"/>
      <c r="U202" s="194" t="n"/>
      <c r="V202" s="194" t="n"/>
      <c r="W202" s="194" t="n"/>
      <c r="X202" s="194" t="n"/>
      <c r="Y202" s="194" t="n"/>
      <c r="Z202" s="194" t="n"/>
      <c r="AA202" s="194" t="n"/>
      <c r="AB202" s="194" t="n"/>
      <c r="AC202" s="194" t="n"/>
      <c r="AD202" s="194" t="n"/>
      <c r="AE202" s="194" t="n"/>
      <c r="AF202" s="194" t="n"/>
      <c r="AG202" s="194" t="n"/>
      <c r="AH202" s="194" t="n"/>
      <c r="AI202" s="194" t="n"/>
      <c r="AJ202" s="194" t="n"/>
    </row>
    <row r="203" ht="12" customHeight="1" s="1">
      <c r="A203" s="194" t="n"/>
      <c r="B203" s="194" t="n"/>
      <c r="C203" s="194" t="n"/>
      <c r="D203" s="194" t="n"/>
      <c r="E203" s="194" t="n"/>
      <c r="F203" s="194" t="n"/>
      <c r="G203" s="194" t="n"/>
      <c r="H203" s="109" t="n"/>
      <c r="I203" s="110" t="n"/>
      <c r="J203" s="110" t="n"/>
      <c r="K203" s="110" t="n"/>
      <c r="L203" s="110" t="n"/>
      <c r="M203" s="110" t="n"/>
      <c r="N203" s="110" t="n"/>
      <c r="O203" s="110" t="n"/>
      <c r="P203" s="110" t="n"/>
      <c r="Q203" s="110" t="n"/>
      <c r="R203" s="110" t="n"/>
      <c r="S203" s="110" t="n"/>
      <c r="T203" s="111" t="n"/>
      <c r="U203" s="194" t="n"/>
      <c r="V203" s="194" t="n"/>
      <c r="W203" s="194" t="n"/>
      <c r="X203" s="194" t="n"/>
      <c r="Y203" s="194" t="n"/>
      <c r="Z203" s="194" t="n"/>
      <c r="AA203" s="194" t="n"/>
      <c r="AB203" s="194" t="n"/>
      <c r="AC203" s="194" t="n"/>
      <c r="AD203" s="194" t="n"/>
      <c r="AE203" s="194" t="n"/>
      <c r="AF203" s="194" t="n"/>
      <c r="AG203" s="194" t="n"/>
      <c r="AH203" s="194" t="n"/>
      <c r="AI203" s="194" t="n"/>
      <c r="AJ203" s="194" t="n"/>
    </row>
    <row r="204" ht="12" customHeight="1" s="1">
      <c r="A204" s="194" t="n"/>
      <c r="B204" s="194" t="n"/>
      <c r="C204" s="194" t="n"/>
      <c r="D204" s="194" t="n"/>
      <c r="E204" s="194" t="n"/>
      <c r="F204" s="194" t="n"/>
      <c r="G204" s="194" t="n"/>
      <c r="H204" s="109" t="n"/>
      <c r="I204" s="110" t="n"/>
      <c r="J204" s="110" t="n"/>
      <c r="K204" s="110" t="n"/>
      <c r="L204" s="110" t="n"/>
      <c r="M204" s="110" t="n"/>
      <c r="N204" s="110" t="n"/>
      <c r="O204" s="110" t="n"/>
      <c r="P204" s="110" t="n"/>
      <c r="Q204" s="110" t="n"/>
      <c r="R204" s="110" t="n"/>
      <c r="S204" s="110" t="n"/>
      <c r="T204" s="111" t="n"/>
      <c r="U204" s="194" t="n"/>
      <c r="V204" s="194" t="n"/>
      <c r="W204" s="194" t="n"/>
      <c r="X204" s="194" t="n"/>
      <c r="Y204" s="194" t="n"/>
      <c r="Z204" s="194" t="n"/>
      <c r="AA204" s="194" t="n"/>
      <c r="AB204" s="194" t="n"/>
      <c r="AC204" s="194" t="n"/>
      <c r="AD204" s="194" t="n"/>
      <c r="AE204" s="194" t="n"/>
      <c r="AF204" s="194" t="n"/>
      <c r="AG204" s="194" t="n"/>
      <c r="AH204" s="194" t="n"/>
      <c r="AI204" s="194" t="n"/>
      <c r="AJ204" s="194" t="n"/>
    </row>
    <row r="205" ht="12" customHeight="1" s="1">
      <c r="A205" s="194" t="n"/>
      <c r="B205" s="194" t="n"/>
      <c r="C205" s="194" t="n"/>
      <c r="D205" s="194" t="n"/>
      <c r="E205" s="194" t="n"/>
      <c r="F205" s="194" t="n"/>
      <c r="G205" s="194" t="n"/>
      <c r="H205" s="109" t="n"/>
      <c r="I205" s="110" t="n"/>
      <c r="J205" s="110" t="n"/>
      <c r="K205" s="110" t="n"/>
      <c r="L205" s="110" t="n"/>
      <c r="M205" s="110" t="n"/>
      <c r="N205" s="110" t="n"/>
      <c r="O205" s="110" t="n"/>
      <c r="P205" s="110" t="n"/>
      <c r="Q205" s="110" t="n"/>
      <c r="R205" s="110" t="n"/>
      <c r="S205" s="110" t="n"/>
      <c r="T205" s="111" t="n"/>
      <c r="U205" s="194" t="n"/>
      <c r="V205" s="194" t="n"/>
      <c r="W205" s="194" t="n"/>
      <c r="X205" s="194" t="n"/>
      <c r="Y205" s="194" t="n"/>
      <c r="Z205" s="194" t="n"/>
      <c r="AA205" s="194" t="n"/>
      <c r="AB205" s="194" t="n"/>
      <c r="AC205" s="194" t="n"/>
      <c r="AD205" s="194" t="n"/>
      <c r="AE205" s="194" t="n"/>
      <c r="AF205" s="194" t="n"/>
      <c r="AG205" s="194" t="n"/>
      <c r="AH205" s="194" t="n"/>
      <c r="AI205" s="194" t="n"/>
      <c r="AJ205" s="194" t="n"/>
    </row>
    <row r="206" ht="12" customHeight="1" s="1">
      <c r="A206" s="194" t="n"/>
      <c r="B206" s="194" t="n"/>
      <c r="C206" s="194" t="n"/>
      <c r="D206" s="194" t="n"/>
      <c r="E206" s="194" t="n"/>
      <c r="F206" s="194" t="n"/>
      <c r="G206" s="194" t="n"/>
      <c r="H206" s="109" t="n"/>
      <c r="I206" s="110" t="n"/>
      <c r="J206" s="110" t="n"/>
      <c r="K206" s="110" t="n"/>
      <c r="L206" s="110" t="n"/>
      <c r="M206" s="110" t="n"/>
      <c r="N206" s="110" t="n"/>
      <c r="O206" s="110" t="n"/>
      <c r="P206" s="110" t="n"/>
      <c r="Q206" s="110" t="n"/>
      <c r="R206" s="110" t="n"/>
      <c r="S206" s="110" t="n"/>
      <c r="T206" s="111" t="n"/>
      <c r="U206" s="194" t="n"/>
      <c r="V206" s="194" t="n"/>
      <c r="W206" s="194" t="n"/>
      <c r="X206" s="194" t="n"/>
      <c r="Y206" s="194" t="n"/>
      <c r="Z206" s="194" t="n"/>
      <c r="AA206" s="194" t="n"/>
      <c r="AB206" s="194" t="n"/>
      <c r="AC206" s="194" t="n"/>
      <c r="AD206" s="194" t="n"/>
      <c r="AE206" s="194" t="n"/>
      <c r="AF206" s="194" t="n"/>
      <c r="AG206" s="194" t="n"/>
      <c r="AH206" s="194" t="n"/>
      <c r="AI206" s="194" t="n"/>
      <c r="AJ206" s="194" t="n"/>
    </row>
    <row r="207" ht="12" customHeight="1" s="1">
      <c r="A207" s="194" t="n"/>
      <c r="B207" s="194" t="n"/>
      <c r="C207" s="194" t="n"/>
      <c r="D207" s="194" t="n"/>
      <c r="E207" s="194" t="n"/>
      <c r="F207" s="194" t="n"/>
      <c r="G207" s="194" t="n"/>
      <c r="H207" s="109" t="n"/>
      <c r="I207" s="110" t="n"/>
      <c r="J207" s="110" t="n"/>
      <c r="K207" s="110" t="n"/>
      <c r="L207" s="110" t="n"/>
      <c r="M207" s="110" t="n"/>
      <c r="N207" s="110" t="n"/>
      <c r="O207" s="110" t="n"/>
      <c r="P207" s="110" t="n"/>
      <c r="Q207" s="110" t="n"/>
      <c r="R207" s="110" t="n"/>
      <c r="S207" s="110" t="n"/>
      <c r="T207" s="111" t="n"/>
      <c r="U207" s="194" t="n"/>
      <c r="V207" s="194" t="n"/>
      <c r="W207" s="194" t="n"/>
      <c r="X207" s="194" t="n"/>
      <c r="Y207" s="194" t="n"/>
      <c r="Z207" s="194" t="n"/>
      <c r="AA207" s="194" t="n"/>
      <c r="AB207" s="194" t="n"/>
      <c r="AC207" s="194" t="n"/>
      <c r="AD207" s="194" t="n"/>
      <c r="AE207" s="194" t="n"/>
      <c r="AF207" s="194" t="n"/>
      <c r="AG207" s="194" t="n"/>
      <c r="AH207" s="194" t="n"/>
      <c r="AI207" s="194" t="n"/>
      <c r="AJ207" s="194" t="n"/>
    </row>
    <row r="208" ht="12" customHeight="1" s="1">
      <c r="A208" s="194" t="n"/>
      <c r="B208" s="194" t="n"/>
      <c r="C208" s="194" t="n"/>
      <c r="D208" s="194" t="n"/>
      <c r="E208" s="194" t="n"/>
      <c r="F208" s="194" t="n"/>
      <c r="G208" s="194" t="n"/>
      <c r="H208" s="109" t="n"/>
      <c r="I208" s="110" t="n"/>
      <c r="J208" s="110" t="n"/>
      <c r="K208" s="110" t="n"/>
      <c r="L208" s="110" t="n"/>
      <c r="M208" s="110" t="n"/>
      <c r="N208" s="110" t="n"/>
      <c r="O208" s="110" t="n"/>
      <c r="P208" s="110" t="n"/>
      <c r="Q208" s="110" t="n"/>
      <c r="R208" s="110" t="n"/>
      <c r="S208" s="110" t="n"/>
      <c r="T208" s="111" t="n"/>
      <c r="U208" s="194" t="n"/>
      <c r="V208" s="194" t="n"/>
      <c r="W208" s="194" t="n"/>
      <c r="X208" s="194" t="n"/>
      <c r="Y208" s="194" t="n"/>
      <c r="Z208" s="194" t="n"/>
      <c r="AA208" s="194" t="n"/>
      <c r="AB208" s="194" t="n"/>
      <c r="AC208" s="194" t="n"/>
      <c r="AD208" s="194" t="n"/>
      <c r="AE208" s="194" t="n"/>
      <c r="AF208" s="194" t="n"/>
      <c r="AG208" s="194" t="n"/>
      <c r="AH208" s="194" t="n"/>
      <c r="AI208" s="194" t="n"/>
      <c r="AJ208" s="194" t="n"/>
    </row>
    <row r="209" ht="12" customHeight="1" s="1">
      <c r="A209" s="194" t="n"/>
      <c r="B209" s="194" t="n"/>
      <c r="C209" s="194" t="n"/>
      <c r="D209" s="194" t="n"/>
      <c r="E209" s="194" t="n"/>
      <c r="F209" s="194" t="n"/>
      <c r="G209" s="194" t="n"/>
      <c r="H209" s="109" t="n"/>
      <c r="I209" s="110" t="n"/>
      <c r="J209" s="110" t="n"/>
      <c r="K209" s="110" t="n"/>
      <c r="L209" s="110" t="n"/>
      <c r="M209" s="110" t="n"/>
      <c r="N209" s="110" t="n"/>
      <c r="O209" s="110" t="n"/>
      <c r="P209" s="110" t="n"/>
      <c r="Q209" s="110" t="n"/>
      <c r="R209" s="110" t="n"/>
      <c r="S209" s="110" t="n"/>
      <c r="T209" s="111" t="n"/>
      <c r="U209" s="194" t="n"/>
      <c r="V209" s="194" t="n"/>
      <c r="W209" s="194" t="n"/>
      <c r="X209" s="194" t="n"/>
      <c r="Y209" s="194" t="n"/>
      <c r="Z209" s="194" t="n"/>
      <c r="AA209" s="194" t="n"/>
      <c r="AB209" s="194" t="n"/>
      <c r="AC209" s="194" t="n"/>
      <c r="AD209" s="194" t="n"/>
      <c r="AE209" s="194" t="n"/>
      <c r="AF209" s="194" t="n"/>
      <c r="AG209" s="194" t="n"/>
      <c r="AH209" s="194" t="n"/>
      <c r="AI209" s="194" t="n"/>
      <c r="AJ209" s="194" t="n"/>
    </row>
    <row r="210" ht="12" customHeight="1" s="1">
      <c r="A210" s="194" t="n"/>
      <c r="B210" s="194" t="n"/>
      <c r="C210" s="194" t="n"/>
      <c r="D210" s="194" t="n"/>
      <c r="E210" s="194" t="n"/>
      <c r="F210" s="194" t="n"/>
      <c r="G210" s="194" t="n"/>
      <c r="H210" s="109" t="n"/>
      <c r="I210" s="110" t="n"/>
      <c r="J210" s="110" t="n"/>
      <c r="K210" s="110" t="n"/>
      <c r="L210" s="110" t="n"/>
      <c r="M210" s="110" t="n"/>
      <c r="N210" s="110" t="n"/>
      <c r="O210" s="110" t="n"/>
      <c r="P210" s="110" t="n"/>
      <c r="Q210" s="110" t="n"/>
      <c r="R210" s="110" t="n"/>
      <c r="S210" s="110" t="n"/>
      <c r="T210" s="111" t="n"/>
      <c r="U210" s="194" t="n"/>
      <c r="V210" s="194" t="n"/>
      <c r="W210" s="194" t="n"/>
      <c r="X210" s="194" t="n"/>
      <c r="Y210" s="194" t="n"/>
      <c r="Z210" s="194" t="n"/>
      <c r="AA210" s="194" t="n"/>
      <c r="AB210" s="194" t="n"/>
      <c r="AC210" s="194" t="n"/>
      <c r="AD210" s="194" t="n"/>
      <c r="AE210" s="194" t="n"/>
      <c r="AF210" s="194" t="n"/>
      <c r="AG210" s="194" t="n"/>
      <c r="AH210" s="194" t="n"/>
      <c r="AI210" s="194" t="n"/>
      <c r="AJ210" s="194" t="n"/>
    </row>
    <row r="211" ht="12" customHeight="1" s="1">
      <c r="A211" s="194" t="n"/>
      <c r="B211" s="194" t="n"/>
      <c r="C211" s="194" t="n"/>
      <c r="D211" s="194" t="n"/>
      <c r="E211" s="194" t="n"/>
      <c r="F211" s="194" t="n"/>
      <c r="G211" s="194" t="n"/>
      <c r="H211" s="109" t="n"/>
      <c r="I211" s="110" t="n"/>
      <c r="J211" s="110" t="n"/>
      <c r="K211" s="110" t="n"/>
      <c r="L211" s="110" t="n"/>
      <c r="M211" s="110" t="n"/>
      <c r="N211" s="110" t="n"/>
      <c r="O211" s="110" t="n"/>
      <c r="P211" s="110" t="n"/>
      <c r="Q211" s="110" t="n"/>
      <c r="R211" s="110" t="n"/>
      <c r="S211" s="110" t="n"/>
      <c r="T211" s="111" t="n"/>
      <c r="U211" s="194" t="n"/>
      <c r="V211" s="194" t="n"/>
      <c r="W211" s="194" t="n"/>
      <c r="X211" s="194" t="n"/>
      <c r="Y211" s="194" t="n"/>
      <c r="Z211" s="194" t="n"/>
      <c r="AA211" s="194" t="n"/>
      <c r="AB211" s="194" t="n"/>
      <c r="AC211" s="194" t="n"/>
      <c r="AD211" s="194" t="n"/>
      <c r="AE211" s="194" t="n"/>
      <c r="AF211" s="194" t="n"/>
      <c r="AG211" s="194" t="n"/>
      <c r="AH211" s="194" t="n"/>
      <c r="AI211" s="194" t="n"/>
      <c r="AJ211" s="194" t="n"/>
    </row>
    <row r="212" ht="12" customHeight="1" s="1">
      <c r="A212" s="194" t="n"/>
      <c r="B212" s="194" t="n"/>
      <c r="C212" s="194" t="n"/>
      <c r="D212" s="194" t="n"/>
      <c r="E212" s="194" t="n"/>
      <c r="F212" s="194" t="n"/>
      <c r="G212" s="194" t="n"/>
      <c r="H212" s="109" t="n"/>
      <c r="I212" s="110" t="n"/>
      <c r="J212" s="110" t="n"/>
      <c r="K212" s="110" t="n"/>
      <c r="L212" s="110" t="n"/>
      <c r="M212" s="110" t="n"/>
      <c r="N212" s="110" t="n"/>
      <c r="O212" s="110" t="n"/>
      <c r="P212" s="110" t="n"/>
      <c r="Q212" s="110" t="n"/>
      <c r="R212" s="110" t="n"/>
      <c r="S212" s="110" t="n"/>
      <c r="T212" s="111" t="n"/>
      <c r="U212" s="194" t="n"/>
      <c r="V212" s="194" t="n"/>
      <c r="W212" s="194" t="n"/>
      <c r="X212" s="194" t="n"/>
      <c r="Y212" s="194" t="n"/>
      <c r="Z212" s="194" t="n"/>
      <c r="AA212" s="194" t="n"/>
      <c r="AB212" s="194" t="n"/>
      <c r="AC212" s="194" t="n"/>
      <c r="AD212" s="194" t="n"/>
      <c r="AE212" s="194" t="n"/>
      <c r="AF212" s="194" t="n"/>
      <c r="AG212" s="194" t="n"/>
      <c r="AH212" s="194" t="n"/>
      <c r="AI212" s="194" t="n"/>
      <c r="AJ212" s="194" t="n"/>
    </row>
    <row r="213" ht="12" customHeight="1" s="1">
      <c r="A213" s="194" t="n"/>
      <c r="B213" s="194" t="n"/>
      <c r="C213" s="194" t="n"/>
      <c r="D213" s="194" t="n"/>
      <c r="E213" s="194" t="n"/>
      <c r="F213" s="194" t="n"/>
      <c r="G213" s="194" t="n"/>
      <c r="H213" s="109" t="n"/>
      <c r="I213" s="110" t="n"/>
      <c r="J213" s="110" t="n"/>
      <c r="K213" s="110" t="n"/>
      <c r="L213" s="110" t="n"/>
      <c r="M213" s="110" t="n"/>
      <c r="N213" s="110" t="n"/>
      <c r="O213" s="110" t="n"/>
      <c r="P213" s="110" t="n"/>
      <c r="Q213" s="110" t="n"/>
      <c r="R213" s="110" t="n"/>
      <c r="S213" s="110" t="n"/>
      <c r="T213" s="111" t="n"/>
      <c r="U213" s="194" t="n"/>
      <c r="V213" s="194" t="n"/>
      <c r="W213" s="194" t="n"/>
      <c r="X213" s="194" t="n"/>
      <c r="Y213" s="194" t="n"/>
      <c r="Z213" s="194" t="n"/>
      <c r="AA213" s="194" t="n"/>
      <c r="AB213" s="194" t="n"/>
      <c r="AC213" s="194" t="n"/>
      <c r="AD213" s="194" t="n"/>
      <c r="AE213" s="194" t="n"/>
      <c r="AF213" s="194" t="n"/>
      <c r="AG213" s="194" t="n"/>
      <c r="AH213" s="194" t="n"/>
      <c r="AI213" s="194" t="n"/>
      <c r="AJ213" s="194" t="n"/>
    </row>
    <row r="214" ht="12" customHeight="1" s="1">
      <c r="A214" s="194" t="n"/>
      <c r="B214" s="194" t="n"/>
      <c r="C214" s="194" t="n"/>
      <c r="D214" s="194" t="n"/>
      <c r="E214" s="194" t="n"/>
      <c r="F214" s="194" t="n"/>
      <c r="G214" s="194" t="n"/>
      <c r="H214" s="109" t="n"/>
      <c r="I214" s="110" t="n"/>
      <c r="J214" s="110" t="n"/>
      <c r="K214" s="110" t="n"/>
      <c r="L214" s="110" t="n"/>
      <c r="M214" s="110" t="n"/>
      <c r="N214" s="110" t="n"/>
      <c r="O214" s="110" t="n"/>
      <c r="P214" s="110" t="n"/>
      <c r="Q214" s="110" t="n"/>
      <c r="R214" s="110" t="n"/>
      <c r="S214" s="110" t="n"/>
      <c r="T214" s="111" t="n"/>
      <c r="U214" s="194" t="n"/>
      <c r="V214" s="194" t="n"/>
      <c r="W214" s="194" t="n"/>
      <c r="X214" s="194" t="n"/>
      <c r="Y214" s="194" t="n"/>
      <c r="Z214" s="194" t="n"/>
      <c r="AA214" s="194" t="n"/>
      <c r="AB214" s="194" t="n"/>
      <c r="AC214" s="194" t="n"/>
      <c r="AD214" s="194" t="n"/>
      <c r="AE214" s="194" t="n"/>
      <c r="AF214" s="194" t="n"/>
      <c r="AG214" s="194" t="n"/>
      <c r="AH214" s="194" t="n"/>
      <c r="AI214" s="194" t="n"/>
      <c r="AJ214" s="194" t="n"/>
    </row>
    <row r="215" ht="12" customHeight="1" s="1">
      <c r="A215" s="194" t="n"/>
      <c r="B215" s="194" t="n"/>
      <c r="C215" s="194" t="n"/>
      <c r="D215" s="194" t="n"/>
      <c r="E215" s="194" t="n"/>
      <c r="F215" s="194" t="n"/>
      <c r="G215" s="194" t="n"/>
      <c r="H215" s="109" t="n"/>
      <c r="I215" s="110" t="n"/>
      <c r="J215" s="110" t="n"/>
      <c r="K215" s="110" t="n"/>
      <c r="L215" s="110" t="n"/>
      <c r="M215" s="110" t="n"/>
      <c r="N215" s="110" t="n"/>
      <c r="O215" s="110" t="n"/>
      <c r="P215" s="110" t="n"/>
      <c r="Q215" s="110" t="n"/>
      <c r="R215" s="110" t="n"/>
      <c r="S215" s="110" t="n"/>
      <c r="T215" s="111" t="n"/>
      <c r="U215" s="194" t="n"/>
      <c r="V215" s="194" t="n"/>
      <c r="W215" s="194" t="n"/>
      <c r="X215" s="194" t="n"/>
      <c r="Y215" s="194" t="n"/>
      <c r="Z215" s="194" t="n"/>
      <c r="AA215" s="194" t="n"/>
      <c r="AB215" s="194" t="n"/>
      <c r="AC215" s="194" t="n"/>
      <c r="AD215" s="194" t="n"/>
      <c r="AE215" s="194" t="n"/>
      <c r="AF215" s="194" t="n"/>
      <c r="AG215" s="194" t="n"/>
      <c r="AH215" s="194" t="n"/>
      <c r="AI215" s="194" t="n"/>
      <c r="AJ215" s="194" t="n"/>
    </row>
    <row r="216" ht="12" customHeight="1" s="1">
      <c r="A216" s="194" t="n"/>
      <c r="B216" s="194" t="n"/>
      <c r="C216" s="194" t="n"/>
      <c r="D216" s="194" t="n"/>
      <c r="E216" s="194" t="n"/>
      <c r="F216" s="194" t="n"/>
      <c r="G216" s="194" t="n"/>
      <c r="H216" s="109" t="n"/>
      <c r="I216" s="110" t="n"/>
      <c r="J216" s="110" t="n"/>
      <c r="K216" s="110" t="n"/>
      <c r="L216" s="110" t="n"/>
      <c r="M216" s="110" t="n"/>
      <c r="N216" s="110" t="n"/>
      <c r="O216" s="110" t="n"/>
      <c r="P216" s="110" t="n"/>
      <c r="Q216" s="110" t="n"/>
      <c r="R216" s="110" t="n"/>
      <c r="S216" s="110" t="n"/>
      <c r="T216" s="111" t="n"/>
      <c r="U216" s="194" t="n"/>
      <c r="V216" s="194" t="n"/>
      <c r="W216" s="194" t="n"/>
      <c r="X216" s="194" t="n"/>
      <c r="Y216" s="194" t="n"/>
      <c r="Z216" s="194" t="n"/>
      <c r="AA216" s="194" t="n"/>
      <c r="AB216" s="194" t="n"/>
      <c r="AC216" s="194" t="n"/>
      <c r="AD216" s="194" t="n"/>
      <c r="AE216" s="194" t="n"/>
      <c r="AF216" s="194" t="n"/>
      <c r="AG216" s="194" t="n"/>
      <c r="AH216" s="194" t="n"/>
      <c r="AI216" s="194" t="n"/>
      <c r="AJ216" s="194" t="n"/>
    </row>
    <row r="217" ht="12" customHeight="1" s="1">
      <c r="A217" s="194" t="n"/>
      <c r="B217" s="194" t="n"/>
      <c r="C217" s="194" t="n"/>
      <c r="D217" s="194" t="n"/>
      <c r="E217" s="194" t="n"/>
      <c r="F217" s="194" t="n"/>
      <c r="G217" s="194" t="n"/>
      <c r="H217" s="109" t="n"/>
      <c r="I217" s="110" t="n"/>
      <c r="J217" s="110" t="n"/>
      <c r="K217" s="110" t="n"/>
      <c r="L217" s="110" t="n"/>
      <c r="M217" s="110" t="n"/>
      <c r="N217" s="110" t="n"/>
      <c r="O217" s="110" t="n"/>
      <c r="P217" s="110" t="n"/>
      <c r="Q217" s="110" t="n"/>
      <c r="R217" s="110" t="n"/>
      <c r="S217" s="110" t="n"/>
      <c r="T217" s="111" t="n"/>
      <c r="U217" s="194" t="n"/>
      <c r="V217" s="194" t="n"/>
      <c r="W217" s="194" t="n"/>
      <c r="X217" s="194" t="n"/>
      <c r="Y217" s="194" t="n"/>
      <c r="Z217" s="194" t="n"/>
      <c r="AA217" s="194" t="n"/>
      <c r="AB217" s="194" t="n"/>
      <c r="AC217" s="194" t="n"/>
      <c r="AD217" s="194" t="n"/>
      <c r="AE217" s="194" t="n"/>
      <c r="AF217" s="194" t="n"/>
      <c r="AG217" s="194" t="n"/>
      <c r="AH217" s="194" t="n"/>
      <c r="AI217" s="194" t="n"/>
      <c r="AJ217" s="194" t="n"/>
    </row>
    <row r="218" ht="12" customHeight="1" s="1">
      <c r="A218" s="194" t="n"/>
      <c r="B218" s="194" t="n"/>
      <c r="C218" s="194" t="n"/>
      <c r="D218" s="194" t="n"/>
      <c r="E218" s="194" t="n"/>
      <c r="F218" s="194" t="n"/>
      <c r="G218" s="194" t="n"/>
      <c r="H218" s="109" t="n"/>
      <c r="I218" s="110" t="n"/>
      <c r="J218" s="110" t="n"/>
      <c r="K218" s="110" t="n"/>
      <c r="L218" s="110" t="n"/>
      <c r="M218" s="110" t="n"/>
      <c r="N218" s="110" t="n"/>
      <c r="O218" s="110" t="n"/>
      <c r="P218" s="110" t="n"/>
      <c r="Q218" s="110" t="n"/>
      <c r="R218" s="110" t="n"/>
      <c r="S218" s="110" t="n"/>
      <c r="T218" s="111" t="n"/>
      <c r="U218" s="194" t="n"/>
      <c r="V218" s="194" t="n"/>
      <c r="W218" s="194" t="n"/>
      <c r="X218" s="194" t="n"/>
      <c r="Y218" s="194" t="n"/>
      <c r="Z218" s="194" t="n"/>
      <c r="AA218" s="194" t="n"/>
      <c r="AB218" s="194" t="n"/>
      <c r="AC218" s="194" t="n"/>
      <c r="AD218" s="194" t="n"/>
      <c r="AE218" s="194" t="n"/>
      <c r="AF218" s="194" t="n"/>
      <c r="AG218" s="194" t="n"/>
      <c r="AH218" s="194" t="n"/>
      <c r="AI218" s="194" t="n"/>
      <c r="AJ218" s="194" t="n"/>
    </row>
    <row r="219" ht="12" customHeight="1" s="1">
      <c r="A219" s="194" t="n"/>
      <c r="B219" s="194" t="n"/>
      <c r="C219" s="194" t="n"/>
      <c r="D219" s="194" t="n"/>
      <c r="E219" s="194" t="n"/>
      <c r="F219" s="194" t="n"/>
      <c r="G219" s="194" t="n"/>
      <c r="H219" s="109" t="n"/>
      <c r="I219" s="110" t="n"/>
      <c r="J219" s="110" t="n"/>
      <c r="K219" s="110" t="n"/>
      <c r="L219" s="110" t="n"/>
      <c r="M219" s="110" t="n"/>
      <c r="N219" s="110" t="n"/>
      <c r="O219" s="110" t="n"/>
      <c r="P219" s="110" t="n"/>
      <c r="Q219" s="110" t="n"/>
      <c r="R219" s="110" t="n"/>
      <c r="S219" s="110" t="n"/>
      <c r="T219" s="111" t="n"/>
      <c r="U219" s="194" t="n"/>
      <c r="V219" s="194" t="n"/>
      <c r="W219" s="194" t="n"/>
      <c r="X219" s="194" t="n"/>
      <c r="Y219" s="194" t="n"/>
      <c r="Z219" s="194" t="n"/>
      <c r="AA219" s="194" t="n"/>
      <c r="AB219" s="194" t="n"/>
      <c r="AC219" s="194" t="n"/>
      <c r="AD219" s="194" t="n"/>
      <c r="AE219" s="194" t="n"/>
      <c r="AF219" s="194" t="n"/>
      <c r="AG219" s="194" t="n"/>
      <c r="AH219" s="194" t="n"/>
      <c r="AI219" s="194" t="n"/>
      <c r="AJ219" s="194" t="n"/>
    </row>
    <row r="220" ht="12" customHeight="1" s="1">
      <c r="A220" s="194" t="n"/>
      <c r="B220" s="194" t="n"/>
      <c r="C220" s="194" t="n"/>
      <c r="D220" s="194" t="n"/>
      <c r="E220" s="194" t="n"/>
      <c r="F220" s="194" t="n"/>
      <c r="G220" s="194" t="n"/>
      <c r="H220" s="109" t="n"/>
      <c r="I220" s="110" t="n"/>
      <c r="J220" s="110" t="n"/>
      <c r="K220" s="110" t="n"/>
      <c r="L220" s="110" t="n"/>
      <c r="M220" s="110" t="n"/>
      <c r="N220" s="110" t="n"/>
      <c r="O220" s="110" t="n"/>
      <c r="P220" s="110" t="n"/>
      <c r="Q220" s="110" t="n"/>
      <c r="R220" s="110" t="n"/>
      <c r="S220" s="110" t="n"/>
      <c r="T220" s="111" t="n"/>
      <c r="U220" s="194" t="n"/>
      <c r="V220" s="194" t="n"/>
      <c r="W220" s="194" t="n"/>
      <c r="X220" s="194" t="n"/>
      <c r="Y220" s="194" t="n"/>
      <c r="Z220" s="194" t="n"/>
      <c r="AA220" s="194" t="n"/>
      <c r="AB220" s="194" t="n"/>
      <c r="AC220" s="194" t="n"/>
      <c r="AD220" s="194" t="n"/>
      <c r="AE220" s="194" t="n"/>
      <c r="AF220" s="194" t="n"/>
      <c r="AG220" s="194" t="n"/>
      <c r="AH220" s="194" t="n"/>
      <c r="AI220" s="194" t="n"/>
      <c r="AJ220" s="194" t="n"/>
    </row>
    <row r="221" ht="12" customHeight="1" s="1">
      <c r="A221" s="194" t="n"/>
      <c r="B221" s="194" t="n"/>
      <c r="C221" s="194" t="n"/>
      <c r="D221" s="194" t="n"/>
      <c r="E221" s="194" t="n"/>
      <c r="F221" s="194" t="n"/>
      <c r="G221" s="194" t="n"/>
      <c r="H221" s="109" t="n"/>
      <c r="I221" s="110" t="n"/>
      <c r="J221" s="110" t="n"/>
      <c r="K221" s="110" t="n"/>
      <c r="L221" s="110" t="n"/>
      <c r="M221" s="110" t="n"/>
      <c r="N221" s="110" t="n"/>
      <c r="O221" s="110" t="n"/>
      <c r="P221" s="110" t="n"/>
      <c r="Q221" s="110" t="n"/>
      <c r="R221" s="110" t="n"/>
      <c r="S221" s="110" t="n"/>
      <c r="T221" s="111" t="n"/>
      <c r="U221" s="194" t="n"/>
      <c r="V221" s="194" t="n"/>
      <c r="W221" s="194" t="n"/>
      <c r="X221" s="194" t="n"/>
      <c r="Y221" s="194" t="n"/>
      <c r="Z221" s="194" t="n"/>
      <c r="AA221" s="194" t="n"/>
      <c r="AB221" s="194" t="n"/>
      <c r="AC221" s="194" t="n"/>
      <c r="AD221" s="194" t="n"/>
      <c r="AE221" s="194" t="n"/>
      <c r="AF221" s="194" t="n"/>
      <c r="AG221" s="194" t="n"/>
      <c r="AH221" s="194" t="n"/>
      <c r="AI221" s="194" t="n"/>
      <c r="AJ221" s="194" t="n"/>
    </row>
    <row r="222" ht="15" customHeight="1" s="1">
      <c r="A222" s="194" t="n"/>
      <c r="B222" s="194" t="n"/>
      <c r="C222" s="194" t="n"/>
      <c r="D222" s="194" t="n"/>
      <c r="E222" s="194" t="n"/>
      <c r="F222" s="194" t="n"/>
      <c r="G222" s="194" t="n"/>
      <c r="H222" s="109" t="n"/>
      <c r="I222" s="110" t="n"/>
      <c r="J222" s="110" t="n"/>
      <c r="K222" s="110" t="n"/>
      <c r="L222" s="110" t="n"/>
      <c r="M222" s="110" t="n"/>
      <c r="N222" s="110" t="n"/>
      <c r="O222" s="110" t="n"/>
      <c r="P222" s="110" t="n"/>
      <c r="Q222" s="110" t="n"/>
      <c r="R222" s="110" t="n"/>
      <c r="S222" s="110" t="n"/>
      <c r="T222" s="111" t="n"/>
      <c r="U222" s="194" t="n"/>
      <c r="V222" s="194" t="n"/>
      <c r="W222" s="194" t="n"/>
      <c r="X222" s="194" t="n"/>
      <c r="Y222" s="194" t="n"/>
      <c r="Z222" s="194" t="n"/>
      <c r="AA222" s="194" t="n"/>
      <c r="AB222" s="194" t="n"/>
      <c r="AC222" s="194" t="n"/>
      <c r="AD222" s="194" t="n"/>
      <c r="AE222" s="194" t="n"/>
      <c r="AF222" s="194" t="n"/>
      <c r="AG222" s="194" t="n"/>
      <c r="AH222" s="194" t="n"/>
      <c r="AI222" s="194" t="n"/>
      <c r="AJ222" s="194" t="n"/>
    </row>
    <row r="223" ht="15" customHeight="1" s="1">
      <c r="A223" s="194" t="n"/>
      <c r="B223" s="194" t="n"/>
      <c r="C223" s="194" t="n"/>
      <c r="D223" s="194" t="n"/>
      <c r="E223" s="194" t="n"/>
      <c r="F223" s="194" t="n"/>
      <c r="G223" s="194" t="n"/>
      <c r="H223" s="109" t="n"/>
      <c r="I223" s="110" t="n"/>
      <c r="J223" s="110" t="n"/>
      <c r="K223" s="110" t="n"/>
      <c r="L223" s="110" t="n"/>
      <c r="M223" s="110" t="n"/>
      <c r="N223" s="110" t="n"/>
      <c r="O223" s="110" t="n"/>
      <c r="P223" s="110" t="n"/>
      <c r="Q223" s="110" t="n"/>
      <c r="R223" s="110" t="n"/>
      <c r="S223" s="110" t="n"/>
      <c r="T223" s="111" t="n"/>
      <c r="U223" s="194" t="n"/>
      <c r="V223" s="194" t="n"/>
      <c r="W223" s="194" t="n"/>
      <c r="X223" s="194" t="n"/>
      <c r="Y223" s="194" t="n"/>
      <c r="Z223" s="194" t="n"/>
      <c r="AA223" s="194" t="n"/>
      <c r="AB223" s="194" t="n"/>
      <c r="AC223" s="194" t="n"/>
      <c r="AD223" s="194" t="n"/>
      <c r="AE223" s="194" t="n"/>
      <c r="AF223" s="194" t="n"/>
      <c r="AG223" s="194" t="n"/>
      <c r="AH223" s="194" t="n"/>
      <c r="AI223" s="194" t="n"/>
      <c r="AJ223" s="194" t="n"/>
    </row>
    <row r="224" ht="15" customHeight="1" s="1">
      <c r="A224" s="194" t="n"/>
      <c r="B224" s="194" t="n"/>
      <c r="C224" s="194" t="n"/>
      <c r="D224" s="194" t="n"/>
      <c r="E224" s="194" t="n"/>
      <c r="F224" s="194" t="n"/>
      <c r="G224" s="194" t="n"/>
      <c r="H224" s="109" t="n"/>
      <c r="I224" s="110" t="n"/>
      <c r="J224" s="110" t="n"/>
      <c r="K224" s="110" t="n"/>
      <c r="L224" s="110" t="n"/>
      <c r="M224" s="110" t="n"/>
      <c r="N224" s="110" t="n"/>
      <c r="O224" s="110" t="n"/>
      <c r="P224" s="110" t="n"/>
      <c r="Q224" s="110" t="n"/>
      <c r="R224" s="110" t="n"/>
      <c r="S224" s="110" t="n"/>
      <c r="T224" s="111" t="n"/>
      <c r="U224" s="194" t="n"/>
      <c r="V224" s="194" t="n"/>
      <c r="W224" s="194" t="n"/>
      <c r="X224" s="194" t="n"/>
      <c r="Y224" s="194" t="n"/>
      <c r="Z224" s="194" t="n"/>
      <c r="AA224" s="194" t="n"/>
      <c r="AB224" s="194" t="n"/>
      <c r="AC224" s="194" t="n"/>
      <c r="AD224" s="194" t="n"/>
      <c r="AE224" s="194" t="n"/>
      <c r="AF224" s="194" t="n"/>
      <c r="AG224" s="194" t="n"/>
      <c r="AH224" s="194" t="n"/>
      <c r="AI224" s="194" t="n"/>
      <c r="AJ224" s="194" t="n"/>
    </row>
    <row r="225" ht="15" customHeight="1" s="1">
      <c r="A225" s="194" t="n"/>
      <c r="B225" s="194" t="n"/>
      <c r="C225" s="194" t="n"/>
      <c r="D225" s="194" t="n"/>
      <c r="E225" s="194" t="n"/>
      <c r="F225" s="194" t="n"/>
      <c r="G225" s="194" t="n"/>
      <c r="H225" s="109" t="n"/>
      <c r="I225" s="110" t="n"/>
      <c r="J225" s="110" t="n"/>
      <c r="K225" s="110" t="n"/>
      <c r="L225" s="110" t="n"/>
      <c r="M225" s="110" t="n"/>
      <c r="N225" s="110" t="n"/>
      <c r="O225" s="110" t="n"/>
      <c r="P225" s="110" t="n"/>
      <c r="Q225" s="110" t="n"/>
      <c r="R225" s="110" t="n"/>
      <c r="S225" s="110" t="n"/>
      <c r="T225" s="111" t="n"/>
      <c r="U225" s="194" t="n"/>
      <c r="V225" s="194" t="n"/>
      <c r="W225" s="194" t="n"/>
      <c r="X225" s="194" t="n"/>
      <c r="Y225" s="194" t="n"/>
      <c r="Z225" s="194" t="n"/>
      <c r="AA225" s="194" t="n"/>
      <c r="AB225" s="194" t="n"/>
      <c r="AC225" s="194" t="n"/>
      <c r="AD225" s="194" t="n"/>
      <c r="AE225" s="194" t="n"/>
      <c r="AF225" s="194" t="n"/>
      <c r="AG225" s="194" t="n"/>
      <c r="AH225" s="194" t="n"/>
      <c r="AI225" s="194" t="n"/>
      <c r="AJ225" s="194" t="n"/>
    </row>
    <row r="226" ht="15" customHeight="1" s="1">
      <c r="A226" s="194" t="n"/>
      <c r="B226" s="194" t="n"/>
      <c r="C226" s="194" t="n"/>
      <c r="D226" s="194" t="n"/>
      <c r="E226" s="194" t="n"/>
      <c r="F226" s="194" t="n"/>
      <c r="G226" s="194" t="n"/>
      <c r="H226" s="109" t="n"/>
      <c r="I226" s="110" t="n"/>
      <c r="J226" s="110" t="n"/>
      <c r="K226" s="110" t="n"/>
      <c r="L226" s="110" t="n"/>
      <c r="M226" s="110" t="n"/>
      <c r="N226" s="110" t="n"/>
      <c r="O226" s="110" t="n"/>
      <c r="P226" s="110" t="n"/>
      <c r="Q226" s="110" t="n"/>
      <c r="R226" s="110" t="n"/>
      <c r="S226" s="110" t="n"/>
      <c r="T226" s="111" t="n"/>
      <c r="U226" s="194" t="n"/>
      <c r="V226" s="194" t="n"/>
      <c r="W226" s="194" t="n"/>
      <c r="X226" s="194" t="n"/>
      <c r="Y226" s="194" t="n"/>
      <c r="Z226" s="194" t="n"/>
      <c r="AA226" s="194" t="n"/>
      <c r="AB226" s="194" t="n"/>
      <c r="AC226" s="194" t="n"/>
      <c r="AD226" s="194" t="n"/>
      <c r="AE226" s="194" t="n"/>
      <c r="AF226" s="194" t="n"/>
      <c r="AG226" s="194" t="n"/>
      <c r="AH226" s="194" t="n"/>
      <c r="AI226" s="194" t="n"/>
      <c r="AJ226" s="194" t="n"/>
    </row>
    <row r="227" ht="15" customHeight="1" s="1">
      <c r="A227" s="194" t="n"/>
      <c r="B227" s="194" t="n"/>
      <c r="C227" s="194" t="n"/>
      <c r="D227" s="194" t="n"/>
      <c r="E227" s="194" t="n"/>
      <c r="F227" s="194" t="n"/>
      <c r="G227" s="194" t="n"/>
      <c r="H227" s="109" t="n"/>
      <c r="I227" s="110" t="n"/>
      <c r="J227" s="110" t="n"/>
      <c r="K227" s="110" t="n"/>
      <c r="L227" s="110" t="n"/>
      <c r="M227" s="110" t="n"/>
      <c r="N227" s="110" t="n"/>
      <c r="O227" s="110" t="n"/>
      <c r="P227" s="110" t="n"/>
      <c r="Q227" s="110" t="n"/>
      <c r="R227" s="110" t="n"/>
      <c r="S227" s="110" t="n"/>
      <c r="T227" s="111" t="n"/>
      <c r="U227" s="194" t="n"/>
      <c r="V227" s="194" t="n"/>
      <c r="W227" s="194" t="n"/>
      <c r="X227" s="194" t="n"/>
      <c r="Y227" s="194" t="n"/>
      <c r="Z227" s="194" t="n"/>
      <c r="AA227" s="194" t="n"/>
      <c r="AB227" s="194" t="n"/>
      <c r="AC227" s="194" t="n"/>
      <c r="AD227" s="194" t="n"/>
      <c r="AE227" s="194" t="n"/>
      <c r="AF227" s="194" t="n"/>
      <c r="AG227" s="194" t="n"/>
      <c r="AH227" s="194" t="n"/>
      <c r="AI227" s="194" t="n"/>
      <c r="AJ227" s="194" t="n"/>
    </row>
    <row r="228" ht="15" customHeight="1" s="1">
      <c r="A228" s="194" t="n"/>
      <c r="B228" s="194" t="n"/>
      <c r="C228" s="194" t="n"/>
      <c r="D228" s="194" t="n"/>
      <c r="E228" s="194" t="n"/>
      <c r="F228" s="194" t="n"/>
      <c r="G228" s="194" t="n"/>
      <c r="H228" s="109" t="n"/>
      <c r="I228" s="110" t="n"/>
      <c r="J228" s="110" t="n"/>
      <c r="K228" s="110" t="n"/>
      <c r="L228" s="110" t="n"/>
      <c r="M228" s="110" t="n"/>
      <c r="N228" s="110" t="n"/>
      <c r="O228" s="110" t="n"/>
      <c r="P228" s="110" t="n"/>
      <c r="Q228" s="113" t="n"/>
      <c r="R228" s="114" t="n"/>
      <c r="S228" s="114" t="n"/>
      <c r="T228" s="194" t="n"/>
      <c r="U228" s="194" t="n"/>
      <c r="V228" s="194" t="n"/>
      <c r="W228" s="194" t="n"/>
      <c r="X228" s="194" t="n"/>
      <c r="Y228" s="194" t="n"/>
      <c r="Z228" s="194" t="n"/>
      <c r="AA228" s="194" t="n"/>
      <c r="AB228" s="194" t="n"/>
      <c r="AC228" s="194" t="n"/>
      <c r="AD228" s="194" t="n"/>
      <c r="AE228" s="194" t="n"/>
      <c r="AF228" s="194" t="n"/>
      <c r="AG228" s="194" t="n"/>
      <c r="AH228" s="194" t="n"/>
      <c r="AI228" s="194" t="n"/>
      <c r="AJ228" s="194" t="n"/>
    </row>
    <row r="229" ht="15" customHeight="1" s="1">
      <c r="A229" s="194" t="n"/>
      <c r="B229" s="194" t="n"/>
      <c r="C229" s="194" t="n"/>
      <c r="D229" s="194" t="n"/>
      <c r="E229" s="194" t="n"/>
      <c r="F229" s="194" t="n"/>
      <c r="G229" s="194" t="n"/>
      <c r="H229" s="109" t="n"/>
      <c r="I229" s="110" t="n"/>
      <c r="J229" s="110" t="n"/>
      <c r="K229" s="110" t="n"/>
      <c r="L229" s="110" t="n"/>
      <c r="M229" s="110" t="n"/>
      <c r="N229" s="110" t="n"/>
      <c r="O229" s="110" t="n"/>
      <c r="P229" s="110" t="n"/>
      <c r="Q229" s="111" t="n"/>
      <c r="R229" s="194" t="n"/>
      <c r="S229" s="194" t="n"/>
      <c r="T229" s="194" t="n"/>
      <c r="U229" s="194" t="n"/>
      <c r="V229" s="194" t="n"/>
      <c r="W229" s="194" t="n"/>
      <c r="X229" s="194" t="n"/>
      <c r="Y229" s="194" t="n"/>
      <c r="Z229" s="194" t="n"/>
      <c r="AA229" s="194" t="n"/>
      <c r="AB229" s="194" t="n"/>
      <c r="AC229" s="194" t="n"/>
      <c r="AD229" s="194" t="n"/>
      <c r="AE229" s="194" t="n"/>
      <c r="AF229" s="194" t="n"/>
      <c r="AG229" s="194" t="n"/>
      <c r="AH229" s="194" t="n"/>
      <c r="AI229" s="194" t="n"/>
      <c r="AJ229" s="194" t="n"/>
    </row>
    <row r="230" ht="15" customHeight="1" s="1">
      <c r="A230" s="194" t="n"/>
      <c r="B230" s="194" t="n"/>
      <c r="C230" s="194" t="n"/>
      <c r="D230" s="194" t="n"/>
      <c r="E230" s="194" t="n"/>
      <c r="F230" s="194" t="n"/>
      <c r="G230" s="194" t="n"/>
      <c r="H230" s="109" t="n"/>
      <c r="I230" s="110" t="n"/>
      <c r="J230" s="110" t="n"/>
      <c r="K230" s="110" t="n"/>
      <c r="L230" s="110" t="n"/>
      <c r="M230" s="110" t="n"/>
      <c r="N230" s="110" t="n"/>
      <c r="O230" s="110" t="n"/>
      <c r="P230" s="110" t="n"/>
      <c r="Q230" s="111" t="n"/>
      <c r="R230" s="194" t="n"/>
      <c r="S230" s="194" t="n"/>
      <c r="T230" s="194" t="n"/>
      <c r="U230" s="194" t="n"/>
      <c r="V230" s="194" t="n"/>
      <c r="W230" s="194" t="n"/>
      <c r="X230" s="194" t="n"/>
      <c r="Y230" s="194" t="n"/>
      <c r="Z230" s="194" t="n"/>
      <c r="AA230" s="194" t="n"/>
      <c r="AB230" s="194" t="n"/>
      <c r="AC230" s="194" t="n"/>
      <c r="AD230" s="194" t="n"/>
      <c r="AE230" s="194" t="n"/>
      <c r="AF230" s="194" t="n"/>
      <c r="AG230" s="194" t="n"/>
      <c r="AH230" s="194" t="n"/>
      <c r="AI230" s="194" t="n"/>
      <c r="AJ230" s="194" t="n"/>
    </row>
    <row r="231" ht="15" customHeight="1" s="1">
      <c r="A231" s="194" t="n"/>
      <c r="B231" s="194" t="n"/>
      <c r="C231" s="194" t="n"/>
      <c r="D231" s="194" t="n"/>
      <c r="E231" s="194" t="n"/>
      <c r="F231" s="194" t="n"/>
      <c r="G231" s="194" t="n"/>
      <c r="H231" s="109" t="n"/>
      <c r="I231" s="115" t="n"/>
      <c r="J231" s="115" t="n"/>
      <c r="K231" s="115" t="n"/>
      <c r="L231" s="115" t="n"/>
      <c r="M231" s="115" t="n"/>
      <c r="N231" s="115" t="n"/>
      <c r="O231" s="115" t="n"/>
      <c r="P231" s="115" t="n"/>
      <c r="Q231" s="111" t="n"/>
      <c r="R231" s="194" t="n"/>
      <c r="S231" s="194" t="n"/>
      <c r="T231" s="194" t="n"/>
      <c r="U231" s="194" t="n"/>
      <c r="V231" s="194" t="n"/>
      <c r="W231" s="194" t="n"/>
      <c r="X231" s="194" t="n"/>
      <c r="Y231" s="194" t="n"/>
      <c r="Z231" s="194" t="n"/>
      <c r="AA231" s="194" t="n"/>
      <c r="AB231" s="194" t="n"/>
      <c r="AC231" s="194" t="n"/>
      <c r="AD231" s="194" t="n"/>
      <c r="AE231" s="194" t="n"/>
      <c r="AF231" s="194" t="n"/>
      <c r="AG231" s="194" t="n"/>
      <c r="AH231" s="194" t="n"/>
      <c r="AI231" s="194" t="n"/>
      <c r="AJ231" s="194" t="n"/>
    </row>
  </sheetData>
  <mergeCells count="15">
    <mergeCell ref="A1:T1"/>
    <mergeCell ref="B12:L12"/>
    <mergeCell ref="B13:L13"/>
    <mergeCell ref="D23:P23"/>
    <mergeCell ref="C2:D2"/>
    <mergeCell ref="B20:P20"/>
    <mergeCell ref="A7:H7"/>
    <mergeCell ref="B19:P19"/>
    <mergeCell ref="B11:L11"/>
    <mergeCell ref="B10:L10"/>
    <mergeCell ref="A16:P16"/>
    <mergeCell ref="B14:L14"/>
    <mergeCell ref="B9:L9"/>
    <mergeCell ref="B18:P18"/>
    <mergeCell ref="B8:L8"/>
  </mergeCells>
  <pageMargins left="0.7" right="0.7" top="0.75" bottom="0.75" header="0" footer="0"/>
  <pageSetup orientation="landscape" scale="48"/>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238"/>
  <sheetViews>
    <sheetView showGridLines="0" workbookViewId="0">
      <selection activeCell="O5" sqref="O5"/>
    </sheetView>
  </sheetViews>
  <sheetFormatPr baseColWidth="8" defaultColWidth="12.6640625" defaultRowHeight="15" customHeight="1"/>
  <cols>
    <col width="11.21875" customWidth="1" style="1" min="1" max="1"/>
    <col width="7.21875" customWidth="1" style="1" min="2" max="2"/>
    <col width="16.44140625" customWidth="1" style="1" min="3" max="3"/>
    <col width="8.88671875" customWidth="1" style="1" min="4" max="4"/>
    <col width="9.33203125" customWidth="1" style="1" min="5" max="5"/>
    <col width="6.44140625" customWidth="1" style="1" min="6" max="6"/>
    <col width="11" customWidth="1" style="1" min="7" max="7"/>
    <col width="6.6640625" customWidth="1" style="1" min="8" max="8"/>
    <col width="9.44140625" customWidth="1" style="1" min="9" max="10"/>
    <col width="13.88671875" customWidth="1" style="1" min="11" max="11"/>
    <col width="10.21875" customWidth="1" style="1" min="12" max="12"/>
    <col width="11.44140625" customWidth="1" style="1" min="13" max="16"/>
    <col width="12.6640625" customWidth="1" style="1" min="17" max="19"/>
    <col width="12.6640625" customWidth="1" style="1" min="20" max="16384"/>
  </cols>
  <sheetData>
    <row r="1" ht="15" customHeight="1" s="1">
      <c r="A1" s="116" t="inlineStr">
        <is>
          <t>COURSE OUTCOME ATTAINMENT</t>
        </is>
      </c>
      <c r="B1" s="198" t="n"/>
      <c r="C1" s="198" t="n"/>
      <c r="D1" s="198" t="n"/>
      <c r="E1" s="198" t="n"/>
      <c r="F1" s="198" t="n"/>
      <c r="G1" s="198" t="n"/>
      <c r="H1" s="198" t="n"/>
      <c r="I1" s="198" t="n"/>
      <c r="J1" s="198" t="n"/>
      <c r="K1" s="198" t="n"/>
      <c r="L1" s="198" t="n"/>
      <c r="M1" s="198" t="n"/>
      <c r="N1" s="194" t="n"/>
      <c r="O1" s="194" t="n"/>
      <c r="P1" s="194" t="n"/>
      <c r="Q1" s="200" t="n"/>
    </row>
    <row r="2" ht="42" customHeight="1" s="1">
      <c r="A2" s="117" t="inlineStr">
        <is>
          <t>CO</t>
        </is>
      </c>
      <c r="B2" s="117" t="inlineStr">
        <is>
          <t>IA</t>
        </is>
      </c>
      <c r="C2" s="118" t="inlineStr">
        <is>
          <t>Attainment Level (IA)</t>
        </is>
      </c>
      <c r="D2" s="117" t="inlineStr">
        <is>
          <t>UA</t>
        </is>
      </c>
      <c r="E2" s="118" t="inlineStr">
        <is>
          <t>Attainment Level (UA)</t>
        </is>
      </c>
      <c r="F2" s="117" t="inlineStr">
        <is>
          <t>Direct</t>
        </is>
      </c>
      <c r="G2" s="118" t="inlineStr">
        <is>
          <t>Direct Attainment Level</t>
        </is>
      </c>
      <c r="H2" s="117" t="inlineStr">
        <is>
          <t xml:space="preserve">Indirect </t>
        </is>
      </c>
      <c r="I2" s="118" t="inlineStr">
        <is>
          <t>Indirect Attainment Level</t>
        </is>
      </c>
      <c r="J2" s="119" t="inlineStr">
        <is>
          <t>Final Attainment</t>
        </is>
      </c>
      <c r="K2" s="117" t="inlineStr">
        <is>
          <t>CO</t>
        </is>
      </c>
      <c r="L2" s="118" t="inlineStr">
        <is>
          <t>Final Attainment  Level</t>
        </is>
      </c>
      <c r="M2" s="120" t="inlineStr">
        <is>
          <t>Target</t>
        </is>
      </c>
      <c r="N2" s="75" t="n"/>
      <c r="O2" s="194" t="n"/>
      <c r="P2" s="194" t="n"/>
      <c r="Q2" s="199" t="n"/>
    </row>
    <row r="3" ht="12" customHeight="1" s="1">
      <c r="A3" s="117" t="inlineStr">
        <is>
          <t>CO1</t>
        </is>
      </c>
      <c r="B3" s="121">
        <f>IF('CT4'!D2&gt;0,AVERAGE('CT1-3'!C78,'CT4'!D74),'CT1-3'!C78)</f>
        <v/>
      </c>
      <c r="C3" s="121">
        <f>'CT1-3'!J78</f>
        <v/>
      </c>
      <c r="D3" s="121">
        <f>'UNIVERSITY EXAM'!D72</f>
        <v/>
      </c>
      <c r="E3" s="121">
        <f>IF(D3&gt;=85,3,IF(D3&gt;=75,2,IF(D3&gt;=60,1,0)))</f>
        <v/>
      </c>
      <c r="F3" s="121">
        <f>B3*0.5+D3*0.5</f>
        <v/>
      </c>
      <c r="G3" s="121">
        <f>C3*0.5+E3*0.5</f>
        <v/>
      </c>
      <c r="H3" s="121">
        <f>'EoC Survey'!D63</f>
        <v/>
      </c>
      <c r="I3" s="121">
        <f>IF(H3&gt;=85,3,IF(H3&gt;=70,2,IF(H3&gt;=60,1,0)))</f>
        <v/>
      </c>
      <c r="J3" s="121">
        <f>IFERROR(F3*0.8+H3*0.2,0)</f>
        <v/>
      </c>
      <c r="K3" s="117" t="inlineStr">
        <is>
          <t>CO1</t>
        </is>
      </c>
      <c r="L3" s="123">
        <f>0.7*G3+0.3*I3</f>
        <v/>
      </c>
      <c r="M3" s="122" t="n">
        <v>3</v>
      </c>
      <c r="N3" s="75" t="n"/>
      <c r="O3" s="194" t="n"/>
      <c r="P3" s="194" t="n"/>
      <c r="Q3" s="199" t="n"/>
    </row>
    <row r="4" ht="12" customHeight="1" s="1">
      <c r="A4" s="117" t="inlineStr">
        <is>
          <t>CO2</t>
        </is>
      </c>
      <c r="B4" s="121">
        <f>IF('CT4'!E2&gt;0,AVERAGE('CT1-3'!C79,'CT4'!E74),'CT1-3'!C79)</f>
        <v/>
      </c>
      <c r="C4" s="121">
        <f>'CT1-3'!J79</f>
        <v/>
      </c>
      <c r="D4" s="121">
        <f>'UNIVERSITY EXAM'!D72</f>
        <v/>
      </c>
      <c r="E4" s="121">
        <f>IF(D4&gt;=85,3,IF(D4&gt;=75,2,IF(D4&gt;=60,1,0)))</f>
        <v/>
      </c>
      <c r="F4" s="121">
        <f>B4*0.5+D4*0.5</f>
        <v/>
      </c>
      <c r="G4" s="121">
        <f>C4*0.5+E4*0.5</f>
        <v/>
      </c>
      <c r="H4" s="121">
        <f>'EoC Survey'!E63</f>
        <v/>
      </c>
      <c r="I4" s="121">
        <f>IF(H4&gt;=85,3,IF(H4&gt;=70,2,IF(H4&gt;=60,1,0)))</f>
        <v/>
      </c>
      <c r="J4" s="121">
        <f>IFERROR(F4*0.8+H4*0.2,0)</f>
        <v/>
      </c>
      <c r="K4" s="117" t="inlineStr">
        <is>
          <t>CO2</t>
        </is>
      </c>
      <c r="L4" s="123">
        <f>0.7*G4+0.3*I4</f>
        <v/>
      </c>
      <c r="M4" s="122" t="n">
        <v>3</v>
      </c>
      <c r="N4" s="75" t="n"/>
      <c r="O4" s="194" t="n"/>
      <c r="P4" s="194" t="n"/>
      <c r="Q4" s="199" t="n"/>
    </row>
    <row r="5" ht="12" customHeight="1" s="1">
      <c r="A5" s="117" t="inlineStr">
        <is>
          <t>CO3</t>
        </is>
      </c>
      <c r="B5" s="121">
        <f>IF('CT4'!F2&gt;0,AVERAGE('CT1-3'!C80,'CT4'!F74),'CT1-3'!C80)</f>
        <v/>
      </c>
      <c r="C5" s="121">
        <f>'CT1-3'!J80</f>
        <v/>
      </c>
      <c r="D5" s="121">
        <f>'UNIVERSITY EXAM'!D72</f>
        <v/>
      </c>
      <c r="E5" s="121">
        <f>IF(D5&gt;=85,3,IF(D5&gt;=75,2,IF(D5&gt;=60,1,0)))</f>
        <v/>
      </c>
      <c r="F5" s="121">
        <f>B5*0.5+D5*0.5</f>
        <v/>
      </c>
      <c r="G5" s="121">
        <f>C5*0.5+E5*0.5</f>
        <v/>
      </c>
      <c r="H5" s="121">
        <f>'EoC Survey'!F63</f>
        <v/>
      </c>
      <c r="I5" s="121">
        <f>IF(H5&gt;=85,3,IF(H5&gt;=70,2,IF(H5&gt;=60,1,0)))</f>
        <v/>
      </c>
      <c r="J5" s="121">
        <f>IFERROR(F5*0.8+H5*0.2,0)</f>
        <v/>
      </c>
      <c r="K5" s="117" t="inlineStr">
        <is>
          <t>CO3</t>
        </is>
      </c>
      <c r="L5" s="123">
        <f>0.7*G5+0.3*I5</f>
        <v/>
      </c>
      <c r="M5" s="122" t="n">
        <v>3</v>
      </c>
      <c r="N5" s="75" t="n"/>
      <c r="O5" s="194" t="n"/>
      <c r="P5" s="194" t="n"/>
      <c r="Q5" s="199" t="n"/>
    </row>
    <row r="6" ht="12" customHeight="1" s="1">
      <c r="A6" s="117" t="inlineStr">
        <is>
          <t>CO4</t>
        </is>
      </c>
      <c r="B6" s="121">
        <f>IF('CT4'!G2&gt;0,AVERAGE('CT1-3'!C81,'CT4'!G74),'CT1-3'!C81)</f>
        <v/>
      </c>
      <c r="C6" s="121">
        <f>'CT1-3'!J81</f>
        <v/>
      </c>
      <c r="D6" s="121">
        <f>'UNIVERSITY EXAM'!D72</f>
        <v/>
      </c>
      <c r="E6" s="121">
        <f>IF(D6&gt;=85,3,IF(D6&gt;=75,2,IF(D6&gt;=60,1,0)))</f>
        <v/>
      </c>
      <c r="F6" s="121">
        <f>B6*0.5+D6*0.5</f>
        <v/>
      </c>
      <c r="G6" s="121">
        <f>C6*0.5+E6*0.5</f>
        <v/>
      </c>
      <c r="H6" s="121">
        <f>'EoC Survey'!G63</f>
        <v/>
      </c>
      <c r="I6" s="121">
        <f>IF(H6&gt;=85,3,IF(H6&gt;=70,2,IF(H6&gt;=60,1,0)))</f>
        <v/>
      </c>
      <c r="J6" s="121">
        <f>IFERROR(F6*0.8+H6*0.2,0)</f>
        <v/>
      </c>
      <c r="K6" s="117" t="inlineStr">
        <is>
          <t>CO4</t>
        </is>
      </c>
      <c r="L6" s="123">
        <f>0.7*G6+0.3*I6</f>
        <v/>
      </c>
      <c r="M6" s="122" t="n">
        <v>3</v>
      </c>
      <c r="N6" s="75" t="n"/>
      <c r="O6" s="194" t="n"/>
      <c r="P6" s="194" t="n"/>
      <c r="Q6" s="199" t="n"/>
    </row>
    <row r="7" ht="12" customHeight="1" s="1">
      <c r="A7" s="117" t="inlineStr">
        <is>
          <t>CO5</t>
        </is>
      </c>
      <c r="B7" s="121">
        <f>IF('CT4'!H2&gt;0,AVERAGE('CT1-3'!C82,'CT4'!H74),'CT1-3'!C82)</f>
        <v/>
      </c>
      <c r="C7" s="121">
        <f>'CT1-3'!J82</f>
        <v/>
      </c>
      <c r="D7" s="121">
        <f>'UNIVERSITY EXAM'!D72</f>
        <v/>
      </c>
      <c r="E7" s="121">
        <f>IF(D7&gt;=85,3,IF(D7&gt;=75,2,IF(D7&gt;=60,1,0)))</f>
        <v/>
      </c>
      <c r="F7" s="121">
        <f>B7*0.5+D7*0.5</f>
        <v/>
      </c>
      <c r="G7" s="121">
        <f>C7*0.5+E7*0.5</f>
        <v/>
      </c>
      <c r="H7" s="121">
        <f>'EoC Survey'!H63</f>
        <v/>
      </c>
      <c r="I7" s="121">
        <f>IF(H7&gt;=85,3,IF(H7&gt;=70,2,IF(H7&gt;=60,1,0)))</f>
        <v/>
      </c>
      <c r="J7" s="121">
        <f>IFERROR(F7*0.8+H7*0.2,0)</f>
        <v/>
      </c>
      <c r="K7" s="117" t="inlineStr">
        <is>
          <t>CO5</t>
        </is>
      </c>
      <c r="L7" s="123">
        <f>0.7*G7+0.3*I7</f>
        <v/>
      </c>
      <c r="M7" s="122" t="n">
        <v>3</v>
      </c>
      <c r="N7" s="75" t="n"/>
      <c r="O7" s="194" t="n"/>
      <c r="P7" s="194" t="n"/>
      <c r="Q7" s="199" t="n"/>
    </row>
    <row r="8" ht="12" customHeight="1" s="1">
      <c r="A8" s="122" t="inlineStr">
        <is>
          <t>C06</t>
        </is>
      </c>
      <c r="B8" s="121">
        <f>IF('CT4'!I2&gt;0,AVERAGE('CT1-3'!C83,'CT4'!I74),'CT1-3'!C83)</f>
        <v/>
      </c>
      <c r="C8" s="121">
        <f>'CT1-3'!J83</f>
        <v/>
      </c>
      <c r="D8" s="121" t="n"/>
      <c r="E8" s="121" t="n"/>
      <c r="F8" s="121" t="n"/>
      <c r="G8" s="121" t="n"/>
      <c r="H8" s="121" t="n"/>
      <c r="I8" s="121" t="n"/>
      <c r="J8" s="121" t="n"/>
      <c r="K8" s="122" t="n"/>
      <c r="L8" s="123" t="n"/>
      <c r="M8" s="122" t="n"/>
      <c r="N8" s="75" t="n"/>
      <c r="O8" s="194" t="n"/>
      <c r="P8" s="194" t="n"/>
      <c r="Q8" s="199" t="n"/>
    </row>
    <row r="9" ht="12" customHeight="1" s="1">
      <c r="A9" s="201" t="n"/>
      <c r="B9" s="201" t="n"/>
      <c r="C9" s="124" t="n"/>
      <c r="D9" s="124" t="n"/>
      <c r="E9" s="124" t="n"/>
      <c r="F9" s="124" t="n"/>
      <c r="G9" s="124" t="n"/>
      <c r="H9" s="124" t="n"/>
      <c r="I9" s="124" t="n"/>
      <c r="J9" s="124" t="n"/>
      <c r="K9" s="124" t="n"/>
      <c r="L9" s="125" t="n"/>
      <c r="M9" s="124" t="n"/>
      <c r="N9" s="194" t="n"/>
      <c r="O9" s="194" t="n"/>
      <c r="P9" s="194" t="n"/>
      <c r="Q9" s="199" t="n"/>
    </row>
    <row r="10" ht="12" customHeight="1" s="1">
      <c r="A10" s="194" t="n"/>
      <c r="B10" s="194" t="n"/>
      <c r="C10" s="126" t="n"/>
      <c r="D10" s="126" t="n"/>
      <c r="E10" s="126" t="n"/>
      <c r="F10" s="126" t="n"/>
      <c r="G10" s="126" t="n"/>
      <c r="H10" s="126" t="n"/>
      <c r="I10" s="126" t="n"/>
      <c r="J10" s="126" t="n"/>
      <c r="K10" s="126" t="n"/>
      <c r="L10" s="127" t="n"/>
      <c r="M10" s="126" t="n"/>
      <c r="N10" s="194" t="n"/>
      <c r="O10" s="194" t="n"/>
      <c r="P10" s="194" t="n"/>
      <c r="Q10" s="199" t="n"/>
    </row>
    <row r="11" ht="12" customHeight="1" s="1">
      <c r="A11" s="194" t="n"/>
      <c r="B11" s="194" t="n"/>
      <c r="C11" s="126" t="n"/>
      <c r="D11" s="126" t="n"/>
      <c r="E11" s="126" t="n"/>
      <c r="F11" s="126" t="n"/>
      <c r="G11" s="126" t="n"/>
      <c r="H11" s="126" t="n"/>
      <c r="I11" s="126" t="n"/>
      <c r="J11" s="126" t="n"/>
      <c r="K11" s="126" t="n"/>
      <c r="L11" s="127" t="n"/>
      <c r="M11" s="126" t="n"/>
      <c r="N11" s="194" t="n"/>
      <c r="O11" s="194" t="n"/>
      <c r="P11" s="194" t="n"/>
      <c r="Q11" s="199" t="n"/>
    </row>
    <row r="12" ht="12" customHeight="1" s="1">
      <c r="A12" s="194" t="n"/>
      <c r="B12" s="194" t="n"/>
      <c r="C12" s="126" t="n"/>
      <c r="D12" s="126" t="n"/>
      <c r="E12" s="126" t="n"/>
      <c r="F12" s="126" t="n"/>
      <c r="G12" s="126" t="n"/>
      <c r="H12" s="126" t="n"/>
      <c r="I12" s="126" t="n"/>
      <c r="J12" s="126" t="n"/>
      <c r="K12" s="126" t="n"/>
      <c r="L12" s="127" t="n"/>
      <c r="M12" s="126" t="n"/>
      <c r="N12" s="194" t="n"/>
      <c r="O12" s="194" t="n"/>
      <c r="P12" s="194" t="n"/>
      <c r="Q12" s="199" t="n"/>
    </row>
    <row r="13" ht="12" customHeight="1" s="1">
      <c r="A13" s="194" t="n"/>
      <c r="B13" s="194" t="n"/>
      <c r="C13" s="126" t="n"/>
      <c r="D13" s="126" t="n"/>
      <c r="E13" s="126" t="n"/>
      <c r="F13" s="126" t="n"/>
      <c r="G13" s="126" t="n"/>
      <c r="H13" s="126" t="n"/>
      <c r="I13" s="126" t="n"/>
      <c r="J13" s="126" t="n"/>
      <c r="K13" s="126" t="n"/>
      <c r="L13" s="127" t="n"/>
      <c r="M13" s="126" t="n"/>
      <c r="N13" s="194" t="n"/>
      <c r="O13" s="194" t="n"/>
      <c r="P13" s="194" t="n"/>
      <c r="Q13" s="199" t="n"/>
    </row>
    <row r="14" ht="12" customHeight="1" s="1">
      <c r="A14" s="194" t="n"/>
      <c r="B14" s="194" t="n"/>
      <c r="C14" s="126" t="n"/>
      <c r="D14" s="126" t="n"/>
      <c r="E14" s="126" t="n"/>
      <c r="F14" s="126" t="n"/>
      <c r="G14" s="126" t="n"/>
      <c r="H14" s="126" t="n"/>
      <c r="I14" s="126" t="n"/>
      <c r="J14" s="126" t="n"/>
      <c r="K14" s="126" t="n"/>
      <c r="L14" s="127" t="n"/>
      <c r="M14" s="126" t="n"/>
      <c r="N14" s="194" t="n"/>
      <c r="O14" s="194" t="n"/>
      <c r="P14" s="194" t="n"/>
      <c r="Q14" s="199" t="n"/>
    </row>
    <row r="15" ht="12" customHeight="1" s="1">
      <c r="A15" s="194" t="n"/>
      <c r="B15" s="194" t="n"/>
      <c r="C15" s="126" t="n"/>
      <c r="D15" s="126" t="n"/>
      <c r="E15" s="126" t="n"/>
      <c r="F15" s="126" t="n"/>
      <c r="G15" s="126" t="n"/>
      <c r="H15" s="126" t="n"/>
      <c r="I15" s="126" t="n"/>
      <c r="J15" s="126" t="n"/>
      <c r="K15" s="126" t="n"/>
      <c r="L15" s="127" t="n"/>
      <c r="M15" s="126" t="n"/>
      <c r="N15" s="194" t="n"/>
      <c r="O15" s="194" t="n"/>
      <c r="P15" s="194" t="n"/>
      <c r="Q15" s="199" t="n"/>
    </row>
    <row r="16" ht="12" customHeight="1" s="1">
      <c r="A16" s="194" t="n"/>
      <c r="B16" s="194" t="n"/>
      <c r="C16" s="126" t="n"/>
      <c r="D16" s="126" t="n"/>
      <c r="E16" s="126" t="n"/>
      <c r="F16" s="126" t="n"/>
      <c r="G16" s="126" t="n"/>
      <c r="H16" s="126" t="n"/>
      <c r="I16" s="126" t="n"/>
      <c r="J16" s="126" t="n"/>
      <c r="K16" s="126" t="n"/>
      <c r="L16" s="127" t="n"/>
      <c r="M16" s="126" t="n"/>
      <c r="N16" s="194" t="n"/>
      <c r="O16" s="194" t="n"/>
      <c r="P16" s="194" t="n"/>
      <c r="Q16" s="199" t="n"/>
    </row>
    <row r="17" ht="12" customHeight="1" s="1">
      <c r="A17" s="194" t="n"/>
      <c r="B17" s="194" t="n"/>
      <c r="C17" s="126" t="n"/>
      <c r="D17" s="126" t="n"/>
      <c r="E17" s="126" t="n"/>
      <c r="F17" s="126" t="n"/>
      <c r="G17" s="126" t="n"/>
      <c r="H17" s="126" t="n"/>
      <c r="I17" s="126" t="n"/>
      <c r="J17" s="126" t="n"/>
      <c r="K17" s="126" t="n"/>
      <c r="L17" s="127" t="n"/>
      <c r="M17" s="126" t="n"/>
      <c r="N17" s="194" t="n"/>
      <c r="O17" s="194" t="n"/>
      <c r="P17" s="194" t="n"/>
      <c r="Q17" s="199" t="n"/>
    </row>
    <row r="18" ht="12" customHeight="1" s="1">
      <c r="A18" s="194" t="n"/>
      <c r="B18" s="194" t="n"/>
      <c r="C18" s="126" t="n"/>
      <c r="D18" s="126" t="n"/>
      <c r="E18" s="126" t="n"/>
      <c r="F18" s="126" t="n"/>
      <c r="G18" s="126" t="n"/>
      <c r="H18" s="126" t="n"/>
      <c r="I18" s="126" t="n"/>
      <c r="J18" s="126" t="n"/>
      <c r="K18" s="126" t="n"/>
      <c r="L18" s="127" t="n"/>
      <c r="M18" s="126" t="n"/>
      <c r="N18" s="194" t="n"/>
      <c r="O18" s="194" t="n"/>
      <c r="P18" s="194" t="n"/>
      <c r="Q18" s="199" t="n"/>
    </row>
    <row r="19" ht="12" customHeight="1" s="1">
      <c r="A19" s="194" t="n"/>
      <c r="B19" s="194" t="n"/>
      <c r="C19" s="126" t="n"/>
      <c r="D19" s="126" t="n"/>
      <c r="E19" s="126" t="n"/>
      <c r="F19" s="126" t="n"/>
      <c r="G19" s="126" t="n"/>
      <c r="H19" s="126" t="n"/>
      <c r="I19" s="126" t="n"/>
      <c r="J19" s="126" t="n"/>
      <c r="K19" s="126" t="n"/>
      <c r="L19" s="127" t="n"/>
      <c r="M19" s="126" t="n"/>
      <c r="N19" s="194" t="n"/>
      <c r="O19" s="194" t="n"/>
      <c r="P19" s="194" t="n"/>
      <c r="Q19" s="199" t="n"/>
    </row>
    <row r="20" ht="12" customHeight="1" s="1">
      <c r="A20" s="194" t="n"/>
      <c r="B20" s="194" t="n"/>
      <c r="C20" s="126" t="n"/>
      <c r="D20" s="126" t="n"/>
      <c r="E20" s="126" t="n"/>
      <c r="F20" s="126" t="n"/>
      <c r="G20" s="126" t="n"/>
      <c r="H20" s="126" t="n"/>
      <c r="I20" s="126" t="n"/>
      <c r="J20" s="126" t="n"/>
      <c r="K20" s="126" t="n"/>
      <c r="L20" s="127" t="n"/>
      <c r="M20" s="126" t="n"/>
      <c r="N20" s="194" t="n"/>
      <c r="O20" s="194" t="n"/>
      <c r="P20" s="194" t="n"/>
      <c r="Q20" s="199" t="n"/>
    </row>
    <row r="21" ht="12" customHeight="1" s="1">
      <c r="A21" s="194" t="n"/>
      <c r="B21" s="194" t="n"/>
      <c r="C21" s="126" t="n"/>
      <c r="D21" s="126" t="n"/>
      <c r="E21" s="126" t="n"/>
      <c r="F21" s="126" t="n"/>
      <c r="G21" s="126" t="n"/>
      <c r="H21" s="126" t="n"/>
      <c r="I21" s="126" t="n"/>
      <c r="J21" s="126" t="n"/>
      <c r="K21" s="126" t="n"/>
      <c r="L21" s="127" t="n"/>
      <c r="M21" s="126" t="n"/>
      <c r="N21" s="194" t="n"/>
      <c r="O21" s="194" t="n"/>
      <c r="P21" s="194" t="n"/>
      <c r="Q21" s="199" t="n"/>
    </row>
    <row r="22" ht="12" customHeight="1" s="1">
      <c r="A22" s="194" t="n"/>
      <c r="B22" s="194" t="n"/>
      <c r="C22" s="126" t="n"/>
      <c r="D22" s="126" t="n"/>
      <c r="E22" s="126" t="n"/>
      <c r="F22" s="126" t="n"/>
      <c r="G22" s="126" t="n"/>
      <c r="H22" s="126" t="n"/>
      <c r="I22" s="126" t="n"/>
      <c r="J22" s="126" t="n"/>
      <c r="K22" s="126" t="n"/>
      <c r="L22" s="127" t="n"/>
      <c r="M22" s="126" t="n"/>
      <c r="N22" s="194" t="n"/>
      <c r="O22" s="194" t="n"/>
      <c r="P22" s="194" t="n"/>
      <c r="Q22" s="199" t="n"/>
    </row>
    <row r="23" ht="12" customHeight="1" s="1">
      <c r="A23" s="194" t="n"/>
      <c r="B23" s="194" t="n"/>
      <c r="C23" s="126" t="n"/>
      <c r="D23" s="126" t="n"/>
      <c r="E23" s="126" t="n"/>
      <c r="F23" s="126" t="n"/>
      <c r="G23" s="126" t="n"/>
      <c r="H23" s="126" t="n"/>
      <c r="I23" s="126" t="n"/>
      <c r="J23" s="126" t="n"/>
      <c r="K23" s="126" t="n"/>
      <c r="L23" s="127" t="n"/>
      <c r="M23" s="126" t="n"/>
      <c r="N23" s="194" t="n"/>
      <c r="O23" s="194" t="n"/>
      <c r="P23" s="194" t="n"/>
      <c r="Q23" s="199" t="n"/>
    </row>
    <row r="24" ht="12" customHeight="1" s="1">
      <c r="A24" s="194" t="n"/>
      <c r="B24" s="194" t="n"/>
      <c r="C24" s="126" t="n"/>
      <c r="D24" s="126" t="n"/>
      <c r="E24" s="126" t="n"/>
      <c r="F24" s="126" t="n"/>
      <c r="G24" s="126" t="n"/>
      <c r="H24" s="126" t="n"/>
      <c r="I24" s="126" t="n"/>
      <c r="J24" s="126" t="n"/>
      <c r="K24" s="126" t="n"/>
      <c r="L24" s="127" t="n"/>
      <c r="M24" s="126" t="n"/>
      <c r="N24" s="194" t="n"/>
      <c r="O24" s="194" t="n"/>
      <c r="P24" s="194" t="n"/>
      <c r="Q24" s="199" t="n"/>
    </row>
    <row r="25" ht="12" customHeight="1" s="1">
      <c r="A25" s="194" t="n"/>
      <c r="B25" s="194" t="n"/>
      <c r="C25" s="126" t="n"/>
      <c r="D25" s="126" t="n"/>
      <c r="E25" s="126" t="n"/>
      <c r="F25" s="126" t="n"/>
      <c r="G25" s="126" t="n"/>
      <c r="H25" s="126" t="n"/>
      <c r="I25" s="126" t="n"/>
      <c r="J25" s="126" t="n"/>
      <c r="K25" s="126" t="n"/>
      <c r="L25" s="127" t="n"/>
      <c r="M25" s="126" t="n"/>
      <c r="N25" s="194" t="n"/>
      <c r="O25" s="194" t="n"/>
      <c r="P25" s="194" t="n"/>
      <c r="Q25" s="199" t="n"/>
    </row>
    <row r="26" ht="12" customHeight="1" s="1">
      <c r="A26" s="194" t="n"/>
      <c r="B26" s="194" t="n"/>
      <c r="C26" s="126" t="n"/>
      <c r="D26" s="126" t="n"/>
      <c r="E26" s="126" t="n"/>
      <c r="F26" s="126" t="n"/>
      <c r="G26" s="126" t="n"/>
      <c r="H26" s="126" t="n"/>
      <c r="I26" s="126" t="n"/>
      <c r="J26" s="126" t="n"/>
      <c r="K26" s="126" t="n"/>
      <c r="L26" s="127" t="n"/>
      <c r="M26" s="126" t="n"/>
      <c r="N26" s="194" t="n"/>
      <c r="O26" s="194" t="n"/>
      <c r="P26" s="194" t="n"/>
      <c r="Q26" s="199" t="n"/>
    </row>
    <row r="27" ht="12" customHeight="1" s="1">
      <c r="A27" s="194" t="n"/>
      <c r="B27" s="194" t="n"/>
      <c r="C27" s="126" t="n"/>
      <c r="D27" s="126" t="n"/>
      <c r="E27" s="126" t="n"/>
      <c r="F27" s="126" t="n"/>
      <c r="G27" s="126" t="n"/>
      <c r="H27" s="126" t="n"/>
      <c r="I27" s="126" t="n"/>
      <c r="J27" s="126" t="n"/>
      <c r="K27" s="126" t="n"/>
      <c r="L27" s="127" t="n"/>
      <c r="M27" s="126" t="n"/>
      <c r="N27" s="194" t="n"/>
      <c r="O27" s="194" t="n"/>
      <c r="P27" s="194" t="n"/>
      <c r="Q27" s="199" t="n"/>
    </row>
    <row r="28" ht="12" customHeight="1" s="1">
      <c r="A28" s="194" t="n"/>
      <c r="B28" s="194" t="n"/>
      <c r="C28" s="126" t="n"/>
      <c r="D28" s="126" t="n"/>
      <c r="E28" s="126" t="n"/>
      <c r="F28" s="126" t="n"/>
      <c r="G28" s="126" t="n"/>
      <c r="H28" s="126" t="n"/>
      <c r="I28" s="126" t="n"/>
      <c r="J28" s="126" t="n"/>
      <c r="K28" s="126" t="n"/>
      <c r="L28" s="127" t="n"/>
      <c r="M28" s="126" t="n"/>
      <c r="N28" s="194" t="n"/>
      <c r="O28" s="194" t="n"/>
      <c r="P28" s="194" t="n"/>
      <c r="Q28" s="199" t="n"/>
    </row>
    <row r="29" ht="19.5" customHeight="1" s="1">
      <c r="A29" s="240" t="inlineStr">
        <is>
          <t>PO &amp; PSO Direct Attainment</t>
        </is>
      </c>
      <c r="B29" s="224" t="n"/>
      <c r="C29" s="224" t="n"/>
      <c r="D29" s="224" t="n"/>
      <c r="E29" s="224" t="n"/>
      <c r="F29" s="224" t="n"/>
      <c r="G29" s="224" t="n"/>
      <c r="H29" s="224" t="n"/>
      <c r="I29" s="224" t="n"/>
      <c r="J29" s="224" t="n"/>
      <c r="K29" s="225" t="n"/>
      <c r="L29" s="128" t="n"/>
      <c r="M29" s="129" t="n"/>
      <c r="N29" s="198" t="n"/>
      <c r="O29" s="198" t="n"/>
      <c r="P29" s="198" t="n"/>
      <c r="Q29" s="199" t="n"/>
    </row>
    <row r="30" ht="19.5" customHeight="1" s="1">
      <c r="A30" s="130" t="inlineStr">
        <is>
          <t>CO</t>
        </is>
      </c>
      <c r="B30" s="130" t="inlineStr">
        <is>
          <t>PO1</t>
        </is>
      </c>
      <c r="C30" s="130" t="inlineStr">
        <is>
          <t>PO2</t>
        </is>
      </c>
      <c r="D30" s="130" t="inlineStr">
        <is>
          <t>PO3</t>
        </is>
      </c>
      <c r="E30" s="130" t="inlineStr">
        <is>
          <t>PO4</t>
        </is>
      </c>
      <c r="F30" s="130" t="inlineStr">
        <is>
          <t>PO5</t>
        </is>
      </c>
      <c r="G30" s="130" t="inlineStr">
        <is>
          <t>PO6</t>
        </is>
      </c>
      <c r="H30" s="130" t="inlineStr">
        <is>
          <t>PO7</t>
        </is>
      </c>
      <c r="I30" s="130" t="inlineStr">
        <is>
          <t>PO8</t>
        </is>
      </c>
      <c r="J30" s="130" t="inlineStr">
        <is>
          <t>PO9</t>
        </is>
      </c>
      <c r="K30" s="130" t="inlineStr">
        <is>
          <t>PO10</t>
        </is>
      </c>
      <c r="L30" s="130" t="inlineStr">
        <is>
          <t>PO11</t>
        </is>
      </c>
      <c r="M30" s="130" t="inlineStr">
        <is>
          <t>PO12</t>
        </is>
      </c>
      <c r="N30" s="130" t="inlineStr">
        <is>
          <t>PSO1</t>
        </is>
      </c>
      <c r="O30" s="130" t="inlineStr">
        <is>
          <t>PSO2</t>
        </is>
      </c>
      <c r="P30" s="130" t="inlineStr">
        <is>
          <t>PSO3</t>
        </is>
      </c>
      <c r="Q30" s="131" t="n"/>
    </row>
    <row r="31" ht="19.5" customHeight="1" s="1">
      <c r="A31" s="132" t="inlineStr">
        <is>
          <t>CO1</t>
        </is>
      </c>
      <c r="B31" s="133">
        <f>IF('CO PO Mapping'!B25&lt;&gt;"-",'CO PO Mapping'!B25*L3/3,"-")</f>
        <v/>
      </c>
      <c r="C31" s="134">
        <f>IF('CO PO Mapping'!C25&lt;&gt;"-",'CO PO Mapping'!C25*L3/3,"-")</f>
        <v/>
      </c>
      <c r="D31" s="135">
        <f>IF('CO PO Mapping'!D25&lt;&gt;"-",'CO PO Mapping'!D25*L3/3,"-")</f>
        <v/>
      </c>
      <c r="E31" s="135">
        <f>IF('CO PO Mapping'!E25&lt;&gt;"-",'CO PO Mapping'!E25*L3/3,"-")</f>
        <v/>
      </c>
      <c r="F31" s="135">
        <f>IF('CO PO Mapping'!F25&lt;&gt;"-",'CO PO Mapping'!F25*L3/3,"-")</f>
        <v/>
      </c>
      <c r="G31" s="135">
        <f>IF('CO PO Mapping'!G25&lt;&gt;"-",'CO PO Mapping'!G25*L3/3,"-")</f>
        <v/>
      </c>
      <c r="H31" s="135">
        <f>IF('CO PO Mapping'!H25&lt;&gt;"-",'CO PO Mapping'!H25*L3/3,"-")</f>
        <v/>
      </c>
      <c r="I31" s="135">
        <f>IF('CO PO Mapping'!I25&lt;&gt;"-",'CO PO Mapping'!I25*L3/3,"-")</f>
        <v/>
      </c>
      <c r="J31" s="135">
        <f>IF('CO PO Mapping'!J25&lt;&gt;"-",'CO PO Mapping'!J25*L3/3,"-")</f>
        <v/>
      </c>
      <c r="K31" s="135">
        <f>IF('CO PO Mapping'!K25&lt;&gt;"-",'CO PO Mapping'!K25*L3/3,"-")</f>
        <v/>
      </c>
      <c r="L31" s="135">
        <f>IF('CO PO Mapping'!L25&lt;&gt;"-",'CO PO Mapping'!L25*L3/3,"-")</f>
        <v/>
      </c>
      <c r="M31" s="135">
        <f>IF('CO PO Mapping'!M25&lt;&gt;"-",'CO PO Mapping'!M25*L3/3,"-")</f>
        <v/>
      </c>
      <c r="N31" s="135">
        <f>IF('CO PO Mapping'!N25&lt;&gt;"-",'CO PO Mapping'!N25*L3/3,"-")</f>
        <v/>
      </c>
      <c r="O31" s="134">
        <f>IF('CO PO Mapping'!O25&lt;&gt;"-",'CO PO Mapping'!O25*L3/3,"-")</f>
        <v/>
      </c>
      <c r="P31" s="135">
        <f>IF('CO PO Mapping'!P25&lt;&gt;"-",'CO PO Mapping'!P25*L3/3,"-")</f>
        <v/>
      </c>
      <c r="Q31" s="131" t="n"/>
    </row>
    <row r="32" ht="19.5" customHeight="1" s="1">
      <c r="A32" s="132" t="inlineStr">
        <is>
          <t>CO2</t>
        </is>
      </c>
      <c r="B32" s="134">
        <f>IF('CO PO Mapping'!B26&lt;&gt;"-",'CO PO Mapping'!B26*L4/3,"-")</f>
        <v/>
      </c>
      <c r="C32" s="133">
        <f>IF('CO PO Mapping'!C26&lt;&gt;"-",'CO PO Mapping'!C26*L4/3,"-")</f>
        <v/>
      </c>
      <c r="D32" s="134">
        <f>IF('CO PO Mapping'!D26&lt;&gt;"-",'CO PO Mapping'!D26*L4/3,"-")</f>
        <v/>
      </c>
      <c r="E32" s="135">
        <f>IF('CO PO Mapping'!E26&lt;&gt;"-",'CO PO Mapping'!E26*L4/3,"-")</f>
        <v/>
      </c>
      <c r="F32" s="135">
        <f>IF('CO PO Mapping'!F26&lt;&gt;"-",'CO PO Mapping'!F26*L4/3,"-")</f>
        <v/>
      </c>
      <c r="G32" s="135">
        <f>IF('CO PO Mapping'!G26&lt;&gt;"-",'CO PO Mapping'!G26*L4/3,"-")</f>
        <v/>
      </c>
      <c r="H32" s="135">
        <f>IF('CO PO Mapping'!H26&lt;&gt;"-",'CO PO Mapping'!H26*L4/3,"-")</f>
        <v/>
      </c>
      <c r="I32" s="135">
        <f>IF('CO PO Mapping'!I26&lt;&gt;"-",'CO PO Mapping'!I26*L4/3,"-")</f>
        <v/>
      </c>
      <c r="J32" s="135">
        <f>IF('CO PO Mapping'!J26&lt;&gt;"-",'CO PO Mapping'!J26*L4/3,"-")</f>
        <v/>
      </c>
      <c r="K32" s="135">
        <f>IF('CO PO Mapping'!K26&lt;&gt;"-",'CO PO Mapping'!K26*L4/3,"-")</f>
        <v/>
      </c>
      <c r="L32" s="135">
        <f>IF('CO PO Mapping'!L26&lt;&gt;"-",'CO PO Mapping'!L26*L4/3,"-")</f>
        <v/>
      </c>
      <c r="M32" s="135">
        <f>IF('CO PO Mapping'!M26&lt;&gt;"-",'CO PO Mapping'!M26*L4/3,"-")</f>
        <v/>
      </c>
      <c r="N32" s="135">
        <f>IF('CO PO Mapping'!N26&lt;&gt;"-",'CO PO Mapping'!N26*L4/3,"-")</f>
        <v/>
      </c>
      <c r="O32" s="135">
        <f>IF('CO PO Mapping'!O26&lt;&gt;"-",'CO PO Mapping'!O26*L4/3,"-")</f>
        <v/>
      </c>
      <c r="P32" s="135">
        <f>IF('CO PO Mapping'!P26&lt;&gt;"-",'CO PO Mapping'!P26*L4/3,"-")</f>
        <v/>
      </c>
      <c r="Q32" s="131" t="n"/>
    </row>
    <row r="33" ht="19.5" customHeight="1" s="1">
      <c r="A33" s="132" t="inlineStr">
        <is>
          <t>CO3</t>
        </is>
      </c>
      <c r="B33" s="135">
        <f>IF('CO PO Mapping'!B27&lt;&gt;"-",'CO PO Mapping'!B27*L5/3,"-")</f>
        <v/>
      </c>
      <c r="C33" s="134">
        <f>IF('CO PO Mapping'!C27&lt;&gt;"-",'CO PO Mapping'!C27*L5/3,"-")</f>
        <v/>
      </c>
      <c r="D33" s="133">
        <f>IF('CO PO Mapping'!D27&lt;&gt;"-",'CO PO Mapping'!D27*L5/3,"-")</f>
        <v/>
      </c>
      <c r="E33" s="135">
        <f>IF('CO PO Mapping'!E27&lt;&gt;"-",'CO PO Mapping'!E27*L5/3,"-")</f>
        <v/>
      </c>
      <c r="F33" s="135">
        <f>IF('CO PO Mapping'!F27&lt;&gt;"-",'CO PO Mapping'!F27*L5/3,"-")</f>
        <v/>
      </c>
      <c r="G33" s="135">
        <f>IF('CO PO Mapping'!G27&lt;&gt;"-",'CO PO Mapping'!G27*L5/3,"-")</f>
        <v/>
      </c>
      <c r="H33" s="135">
        <f>IF('CO PO Mapping'!H27&lt;&gt;"-",'CO PO Mapping'!H27*L5/3,"-")</f>
        <v/>
      </c>
      <c r="I33" s="135">
        <f>IF('CO PO Mapping'!I27&lt;&gt;"-",'CO PO Mapping'!I27*L5/3,"-")</f>
        <v/>
      </c>
      <c r="J33" s="135">
        <f>IF('CO PO Mapping'!J27&lt;&gt;"-",'CO PO Mapping'!J27*L5/3,"-")</f>
        <v/>
      </c>
      <c r="K33" s="135">
        <f>IF('CO PO Mapping'!K27&lt;&gt;"-",'CO PO Mapping'!K27*L5/3,"-")</f>
        <v/>
      </c>
      <c r="L33" s="135">
        <f>IF('CO PO Mapping'!L27&lt;&gt;"-",'CO PO Mapping'!L27*L5/3,"-")</f>
        <v/>
      </c>
      <c r="M33" s="135">
        <f>IF('CO PO Mapping'!M27&lt;&gt;"-",'CO PO Mapping'!M27*L5/3,"-")</f>
        <v/>
      </c>
      <c r="N33" s="135">
        <f>IF('CO PO Mapping'!N27&lt;&gt;"-",'CO PO Mapping'!N27*L5/3,"-")</f>
        <v/>
      </c>
      <c r="O33" s="135">
        <f>IF('CO PO Mapping'!O27&lt;&gt;"-",'CO PO Mapping'!O27*L5/3,"-")</f>
        <v/>
      </c>
      <c r="P33" s="135">
        <f>IF('CO PO Mapping'!P27&lt;&gt;"-",'CO PO Mapping'!P27*L5/3,"-")</f>
        <v/>
      </c>
      <c r="Q33" s="131" t="n"/>
    </row>
    <row r="34" ht="19.5" customHeight="1" s="1">
      <c r="A34" s="132" t="inlineStr">
        <is>
          <t>CO4</t>
        </is>
      </c>
      <c r="B34" s="134">
        <f>IF('CO PO Mapping'!B28&lt;&gt;"-",'CO PO Mapping'!B28*L6/3,"-")</f>
        <v/>
      </c>
      <c r="C34" s="133">
        <f>IF('CO PO Mapping'!C28&lt;&gt;"-",'CO PO Mapping'!C28*L6/3,"-")</f>
        <v/>
      </c>
      <c r="D34" s="135">
        <f>IF('CO PO Mapping'!D28&lt;&gt;"-",'CO PO Mapping'!D28*L6/3,"-")</f>
        <v/>
      </c>
      <c r="E34" s="135">
        <f>IF('CO PO Mapping'!E28&lt;&gt;"-",'CO PO Mapping'!E28*L6/3,"-")</f>
        <v/>
      </c>
      <c r="F34" s="135">
        <f>IF('CO PO Mapping'!F28&lt;&gt;"-",'CO PO Mapping'!F28*L6/3,"-")</f>
        <v/>
      </c>
      <c r="G34" s="135">
        <f>IF('CO PO Mapping'!G28&lt;&gt;"-",'CO PO Mapping'!G28*L6/3,"-")</f>
        <v/>
      </c>
      <c r="H34" s="135">
        <f>IF('CO PO Mapping'!H28&lt;&gt;"-",'CO PO Mapping'!H28*L6/3,"-")</f>
        <v/>
      </c>
      <c r="I34" s="135">
        <f>IF('CO PO Mapping'!I28&lt;&gt;"-",'CO PO Mapping'!I28*L6/3,"-")</f>
        <v/>
      </c>
      <c r="J34" s="135">
        <f>IF('CO PO Mapping'!J28&lt;&gt;"-",'CO PO Mapping'!J28*L6/3,"-")</f>
        <v/>
      </c>
      <c r="K34" s="135">
        <f>IF('CO PO Mapping'!K28&lt;&gt;"-",'CO PO Mapping'!K28*L6/3,"-")</f>
        <v/>
      </c>
      <c r="L34" s="135">
        <f>IF('CO PO Mapping'!L28&lt;&gt;"-",'CO PO Mapping'!L28*L6/3,"-")</f>
        <v/>
      </c>
      <c r="M34" s="135">
        <f>IF('CO PO Mapping'!M28&lt;&gt;"-",'CO PO Mapping'!M28*L6/3,"-")</f>
        <v/>
      </c>
      <c r="N34" s="135">
        <f>IF('CO PO Mapping'!N28&lt;&gt;"-",'CO PO Mapping'!N28*L6/3,"-")</f>
        <v/>
      </c>
      <c r="O34" s="134">
        <f>IF('CO PO Mapping'!O28&lt;&gt;"-",'CO PO Mapping'!O28*L6/3,"-")</f>
        <v/>
      </c>
      <c r="P34" s="135">
        <f>IF('CO PO Mapping'!P28&lt;&gt;"-",'CO PO Mapping'!P28*L6/3,"-")</f>
        <v/>
      </c>
      <c r="Q34" s="131" t="n"/>
    </row>
    <row r="35" ht="19.5" customHeight="1" s="1">
      <c r="A35" s="132" t="inlineStr">
        <is>
          <t>CO5</t>
        </is>
      </c>
      <c r="B35" s="134">
        <f>IF('CO PO Mapping'!B29&lt;&gt;"-",'CO PO Mapping'!B29*L7/3,"-")</f>
        <v/>
      </c>
      <c r="C35" s="133">
        <f>IF('CO PO Mapping'!C29&lt;&gt;"-",'CO PO Mapping'!C29*L7/3,"-")</f>
        <v/>
      </c>
      <c r="D35" s="134">
        <f>IF('CO PO Mapping'!D29&lt;&gt;"-",'CO PO Mapping'!D29*L7/3,"-")</f>
        <v/>
      </c>
      <c r="E35" s="135">
        <f>IF('CO PO Mapping'!E29&lt;&gt;"-",'CO PO Mapping'!E29*L7/3,"-")</f>
        <v/>
      </c>
      <c r="F35" s="135">
        <f>IF('CO PO Mapping'!F29&lt;&gt;"-",'CO PO Mapping'!F29*L7/3,"-")</f>
        <v/>
      </c>
      <c r="G35" s="135">
        <f>IF('CO PO Mapping'!G29&lt;&gt;"-",'CO PO Mapping'!G29*L7/3,"-")</f>
        <v/>
      </c>
      <c r="H35" s="135">
        <f>IF('CO PO Mapping'!H29&lt;&gt;"-",'CO PO Mapping'!H29*L7/3,"-")</f>
        <v/>
      </c>
      <c r="I35" s="135">
        <f>IF('CO PO Mapping'!I29&lt;&gt;"-",'CO PO Mapping'!I29*L7/3,"-")</f>
        <v/>
      </c>
      <c r="J35" s="135">
        <f>IF('CO PO Mapping'!J29&lt;&gt;"-",'CO PO Mapping'!J29*L7/3,"-")</f>
        <v/>
      </c>
      <c r="K35" s="135">
        <f>IF('CO PO Mapping'!K29&lt;&gt;"-",'CO PO Mapping'!K29*L7/3,"-")</f>
        <v/>
      </c>
      <c r="L35" s="135">
        <f>IF('CO PO Mapping'!L29&lt;&gt;"-",'CO PO Mapping'!L29*L7/3,"-")</f>
        <v/>
      </c>
      <c r="M35" s="135">
        <f>IF('CO PO Mapping'!M29&lt;&gt;"-",'CO PO Mapping'!M29*L7/3,"-")</f>
        <v/>
      </c>
      <c r="N35" s="134">
        <f>IF('CO PO Mapping'!N29&lt;&gt;"-",'CO PO Mapping'!N29*L7/3,"-")</f>
        <v/>
      </c>
      <c r="O35" s="135">
        <f>IF('CO PO Mapping'!O29&lt;&gt;"-",'CO PO Mapping'!O29*L7/3,"-")</f>
        <v/>
      </c>
      <c r="P35" s="135">
        <f>IF('CO PO Mapping'!P29&lt;&gt;"-",'CO PO Mapping'!P29*L7/3,"-")</f>
        <v/>
      </c>
      <c r="Q35" s="131" t="n"/>
    </row>
    <row r="36" ht="19.5" customHeight="1" s="1">
      <c r="A36" s="132" t="inlineStr">
        <is>
          <t>CO6</t>
        </is>
      </c>
      <c r="B36" s="133">
        <f>IF('CO PO Mapping'!B30&lt;&gt;"-",'CO PO Mapping'!B30*L8/3,"-")</f>
        <v/>
      </c>
      <c r="C36" s="133">
        <f>IF('CO PO Mapping'!C30&lt;&gt;"-",'CO PO Mapping'!C30*L8/3,"-")</f>
        <v/>
      </c>
      <c r="D36" s="133">
        <f>IF('CO PO Mapping'!D30&lt;&gt;"-",'CO PO Mapping'!D30*L8/3,"-")</f>
        <v/>
      </c>
      <c r="E36" s="133">
        <f>IF('CO PO Mapping'!E30&lt;&gt;"-",'CO PO Mapping'!E30*L8/3,"-")</f>
        <v/>
      </c>
      <c r="F36" s="133">
        <f>IF('CO PO Mapping'!F30&lt;&gt;"-",'CO PO Mapping'!F30*L8/3,"-")</f>
        <v/>
      </c>
      <c r="G36" s="133">
        <f>IF('CO PO Mapping'!G30&lt;&gt;"-",'CO PO Mapping'!G30*L8/3,"-")</f>
        <v/>
      </c>
      <c r="H36" s="133">
        <f>IF('CO PO Mapping'!H30&lt;&gt;"-",'CO PO Mapping'!H30*L8/3,"-")</f>
        <v/>
      </c>
      <c r="I36" s="133">
        <f>IF('CO PO Mapping'!I30&lt;&gt;"-",'CO PO Mapping'!I30*L8/3,"-")</f>
        <v/>
      </c>
      <c r="J36" s="133">
        <f>IF('CO PO Mapping'!J30&lt;&gt;"-",'CO PO Mapping'!J30*L8/3,"-")</f>
        <v/>
      </c>
      <c r="K36" s="133">
        <f>IF('CO PO Mapping'!K30&lt;&gt;"-",'CO PO Mapping'!K30*L8/3,"-")</f>
        <v/>
      </c>
      <c r="L36" s="133">
        <f>IF('CO PO Mapping'!L30&lt;&gt;"-",'CO PO Mapping'!L30*L8/3,"-")</f>
        <v/>
      </c>
      <c r="M36" s="133">
        <f>IF('CO PO Mapping'!M30&lt;&gt;"-",'CO PO Mapping'!M30*L8/3,"-")</f>
        <v/>
      </c>
      <c r="N36" s="133">
        <f>IF('CO PO Mapping'!N30&lt;&gt;"-",'CO PO Mapping'!N30*L8/3,"-")</f>
        <v/>
      </c>
      <c r="O36" s="133">
        <f>IF('CO PO Mapping'!O30&lt;&gt;"-",'CO PO Mapping'!O30*L8/3,"-")</f>
        <v/>
      </c>
      <c r="P36" s="133">
        <f>IF('CO PO Mapping'!P30&lt;&gt;"-",'CO PO Mapping'!P30*L8/3,"-")</f>
        <v/>
      </c>
      <c r="Q36" s="131" t="n"/>
    </row>
    <row r="37" ht="19.5" customHeight="1" s="1">
      <c r="A37" s="136" t="inlineStr">
        <is>
          <t>Target PO</t>
        </is>
      </c>
      <c r="B37" s="133">
        <f>'CO PO Mapping'!B31</f>
        <v/>
      </c>
      <c r="C37" s="133">
        <f>'CO PO Mapping'!C31</f>
        <v/>
      </c>
      <c r="D37" s="133">
        <f>'CO PO Mapping'!D31</f>
        <v/>
      </c>
      <c r="E37" s="135">
        <f>'CO PO Mapping'!E31</f>
        <v/>
      </c>
      <c r="F37" s="135">
        <f>'CO PO Mapping'!F31</f>
        <v/>
      </c>
      <c r="G37" s="135">
        <f>'CO PO Mapping'!G31</f>
        <v/>
      </c>
      <c r="H37" s="135">
        <f>'CO PO Mapping'!H31</f>
        <v/>
      </c>
      <c r="I37" s="135">
        <f>'CO PO Mapping'!I31</f>
        <v/>
      </c>
      <c r="J37" s="135">
        <f>'CO PO Mapping'!J31</f>
        <v/>
      </c>
      <c r="K37" s="135">
        <f>'CO PO Mapping'!K31</f>
        <v/>
      </c>
      <c r="L37" s="135">
        <f>'CO PO Mapping'!L31</f>
        <v/>
      </c>
      <c r="M37" s="135">
        <f>'CO PO Mapping'!M31</f>
        <v/>
      </c>
      <c r="N37" s="134">
        <f>'CO PO Mapping'!N31</f>
        <v/>
      </c>
      <c r="O37" s="134">
        <f>'CO PO Mapping'!O31</f>
        <v/>
      </c>
      <c r="P37" s="135">
        <f>'CO PO Mapping'!P31</f>
        <v/>
      </c>
      <c r="Q37" s="131" t="n"/>
    </row>
    <row r="38" ht="24" customHeight="1" s="1">
      <c r="A38" s="137" t="inlineStr">
        <is>
          <t>PO &amp; PSO attainment</t>
        </is>
      </c>
      <c r="B38" s="68">
        <f>IFERROR(AVERAGE(B31:B36),"-")</f>
        <v/>
      </c>
      <c r="C38" s="68">
        <f>IFERROR(AVERAGE(C31:C36),"-")</f>
        <v/>
      </c>
      <c r="D38" s="68">
        <f>IFERROR(AVERAGE(D31:D36),"-")</f>
        <v/>
      </c>
      <c r="E38" s="68">
        <f>IFERROR(AVERAGE(E31:E36),"-")</f>
        <v/>
      </c>
      <c r="F38" s="68">
        <f>IFERROR(AVERAGE(F31:F36),"-")</f>
        <v/>
      </c>
      <c r="G38" s="68">
        <f>IFERROR(AVERAGE(G31:G36),"-")</f>
        <v/>
      </c>
      <c r="H38" s="68">
        <f>IFERROR(AVERAGE(H31:H36),"-")</f>
        <v/>
      </c>
      <c r="I38" s="68">
        <f>IFERROR(AVERAGE(I31:I36),"-")</f>
        <v/>
      </c>
      <c r="J38" s="68">
        <f>IFERROR(AVERAGE(J31:J36),"-")</f>
        <v/>
      </c>
      <c r="K38" s="68">
        <f>IFERROR(AVERAGE(K31:K36),"-")</f>
        <v/>
      </c>
      <c r="L38" s="68">
        <f>IFERROR(AVERAGE(L31:L36),"-")</f>
        <v/>
      </c>
      <c r="M38" s="68">
        <f>IFERROR(AVERAGE(M31:M36),"-")</f>
        <v/>
      </c>
      <c r="N38" s="68">
        <f>IFERROR(AVERAGE(N31:N36),"-")</f>
        <v/>
      </c>
      <c r="O38" s="68">
        <f>IFERROR(AVERAGE(O31:O36),"-")</f>
        <v/>
      </c>
      <c r="P38" s="68">
        <f>IFERROR(AVERAGE(P31:P36),"-")</f>
        <v/>
      </c>
      <c r="Q38" s="131" t="n"/>
    </row>
    <row r="39" ht="12" customHeight="1" s="1">
      <c r="A39" s="201" t="n"/>
      <c r="B39" s="201" t="n"/>
      <c r="C39" s="124" t="n"/>
      <c r="D39" s="124" t="n"/>
      <c r="E39" s="124" t="n"/>
      <c r="F39" s="124" t="n"/>
      <c r="G39" s="124" t="n"/>
      <c r="H39" s="124" t="n"/>
      <c r="I39" s="124" t="n"/>
      <c r="J39" s="124" t="n"/>
      <c r="K39" s="124" t="n"/>
      <c r="L39" s="125" t="n"/>
      <c r="M39" s="124" t="n"/>
      <c r="N39" s="201" t="n"/>
      <c r="O39" s="201" t="n"/>
      <c r="P39" s="201" t="n"/>
      <c r="Q39" s="199" t="n"/>
    </row>
    <row r="40" ht="12" customHeight="1" s="1">
      <c r="A40" s="194" t="n"/>
      <c r="B40" s="194" t="n"/>
      <c r="C40" s="126" t="n"/>
      <c r="D40" s="126" t="n"/>
      <c r="E40" s="126" t="n"/>
      <c r="F40" s="126" t="n"/>
      <c r="G40" s="126" t="n"/>
      <c r="H40" s="126" t="n"/>
      <c r="I40" s="126" t="n"/>
      <c r="J40" s="126" t="n"/>
      <c r="K40" s="126" t="n"/>
      <c r="L40" s="127" t="n"/>
      <c r="M40" s="126" t="n"/>
      <c r="N40" s="194" t="n"/>
      <c r="O40" s="194" t="n"/>
      <c r="P40" s="194" t="n"/>
      <c r="Q40" s="199" t="n"/>
    </row>
    <row r="41" ht="12" customHeight="1" s="1">
      <c r="A41" s="194" t="n"/>
      <c r="B41" s="194" t="n"/>
      <c r="C41" s="126" t="n"/>
      <c r="D41" s="126" t="n"/>
      <c r="E41" s="126" t="n"/>
      <c r="F41" s="126" t="n"/>
      <c r="G41" s="126" t="n"/>
      <c r="H41" s="126" t="n"/>
      <c r="I41" s="126" t="n"/>
      <c r="J41" s="126" t="n"/>
      <c r="K41" s="126" t="n"/>
      <c r="L41" s="127" t="n"/>
      <c r="M41" s="126" t="n"/>
      <c r="N41" s="194" t="n"/>
      <c r="O41" s="194" t="n"/>
      <c r="P41" s="194" t="n"/>
      <c r="Q41" s="199" t="n"/>
    </row>
    <row r="42" ht="12" customHeight="1" s="1">
      <c r="A42" s="194" t="n"/>
      <c r="B42" s="194" t="n"/>
      <c r="C42" s="126" t="n"/>
      <c r="D42" s="126" t="n"/>
      <c r="E42" s="126" t="n"/>
      <c r="F42" s="126" t="n"/>
      <c r="G42" s="126" t="n"/>
      <c r="H42" s="126" t="n"/>
      <c r="I42" s="126" t="n"/>
      <c r="J42" s="126" t="n"/>
      <c r="K42" s="126" t="n"/>
      <c r="L42" s="127" t="n"/>
      <c r="M42" s="126" t="n"/>
      <c r="N42" s="194" t="n"/>
      <c r="O42" s="194" t="n"/>
      <c r="P42" s="194" t="n"/>
      <c r="Q42" s="199" t="n"/>
    </row>
    <row r="43" ht="12" customHeight="1" s="1">
      <c r="A43" s="194" t="n"/>
      <c r="B43" s="194" t="n"/>
      <c r="C43" s="126" t="n"/>
      <c r="D43" s="126" t="n"/>
      <c r="E43" s="126" t="n"/>
      <c r="F43" s="126" t="n"/>
      <c r="G43" s="126" t="n"/>
      <c r="H43" s="126" t="n"/>
      <c r="I43" s="126" t="n"/>
      <c r="J43" s="126" t="n"/>
      <c r="K43" s="126" t="n"/>
      <c r="L43" s="127" t="n"/>
      <c r="M43" s="126" t="n"/>
      <c r="N43" s="194" t="n"/>
      <c r="O43" s="194" t="n"/>
      <c r="P43" s="194" t="n"/>
      <c r="Q43" s="199" t="n"/>
    </row>
    <row r="44" ht="12" customHeight="1" s="1">
      <c r="A44" s="194" t="n"/>
      <c r="B44" s="194" t="n"/>
      <c r="C44" s="126" t="n"/>
      <c r="D44" s="126" t="n"/>
      <c r="E44" s="126" t="n"/>
      <c r="F44" s="126" t="n"/>
      <c r="G44" s="126" t="n"/>
      <c r="H44" s="126" t="n"/>
      <c r="I44" s="126" t="n"/>
      <c r="J44" s="126" t="n"/>
      <c r="K44" s="126" t="n"/>
      <c r="L44" s="127" t="n"/>
      <c r="M44" s="126" t="n"/>
      <c r="N44" s="194" t="n"/>
      <c r="O44" s="194" t="n"/>
      <c r="P44" s="194" t="n"/>
      <c r="Q44" s="199" t="n"/>
    </row>
    <row r="45" ht="12" customHeight="1" s="1">
      <c r="A45" s="194" t="n"/>
      <c r="B45" s="194" t="n"/>
      <c r="C45" s="126" t="n"/>
      <c r="D45" s="126" t="n"/>
      <c r="E45" s="126" t="n"/>
      <c r="F45" s="126" t="n"/>
      <c r="G45" s="126" t="n"/>
      <c r="H45" s="126" t="n"/>
      <c r="I45" s="126" t="n"/>
      <c r="J45" s="126" t="n"/>
      <c r="K45" s="126" t="n"/>
      <c r="L45" s="127" t="n"/>
      <c r="M45" s="126" t="n"/>
      <c r="N45" s="194" t="n"/>
      <c r="O45" s="194" t="n"/>
      <c r="P45" s="194" t="n"/>
      <c r="Q45" s="199" t="n"/>
    </row>
    <row r="46" ht="12" customHeight="1" s="1">
      <c r="A46" s="194" t="n"/>
      <c r="B46" s="194" t="n"/>
      <c r="C46" s="126" t="n"/>
      <c r="D46" s="126" t="n"/>
      <c r="E46" s="126" t="n"/>
      <c r="F46" s="126" t="n"/>
      <c r="G46" s="126" t="n"/>
      <c r="H46" s="126" t="n"/>
      <c r="I46" s="126" t="n"/>
      <c r="J46" s="126" t="n"/>
      <c r="K46" s="126" t="n"/>
      <c r="L46" s="127" t="n"/>
      <c r="M46" s="126" t="n"/>
      <c r="N46" s="194" t="n"/>
      <c r="O46" s="194" t="n"/>
      <c r="P46" s="194" t="n"/>
      <c r="Q46" s="199" t="n"/>
    </row>
    <row r="47" ht="12" customHeight="1" s="1">
      <c r="A47" s="194" t="n"/>
      <c r="B47" s="194" t="n"/>
      <c r="C47" s="126" t="n"/>
      <c r="D47" s="126" t="n"/>
      <c r="E47" s="126" t="n"/>
      <c r="F47" s="126" t="n"/>
      <c r="G47" s="126" t="n"/>
      <c r="H47" s="126" t="n"/>
      <c r="I47" s="126" t="n"/>
      <c r="J47" s="126" t="n"/>
      <c r="K47" s="126" t="n"/>
      <c r="L47" s="127" t="n"/>
      <c r="M47" s="126" t="n"/>
      <c r="N47" s="194" t="n"/>
      <c r="O47" s="194" t="n"/>
      <c r="P47" s="194" t="n"/>
      <c r="Q47" s="199" t="n"/>
    </row>
    <row r="48" ht="12" customHeight="1" s="1">
      <c r="A48" s="194" t="n"/>
      <c r="B48" s="194" t="n"/>
      <c r="C48" s="126" t="n"/>
      <c r="D48" s="194" t="n"/>
      <c r="E48" s="126" t="n"/>
      <c r="F48" s="126" t="n"/>
      <c r="G48" s="126" t="n"/>
      <c r="H48" s="126" t="n"/>
      <c r="I48" s="126" t="n"/>
      <c r="J48" s="126" t="n"/>
      <c r="K48" s="126" t="n"/>
      <c r="L48" s="127" t="n"/>
      <c r="M48" s="126" t="n"/>
      <c r="N48" s="194" t="n"/>
      <c r="O48" s="194" t="n"/>
      <c r="P48" s="194" t="n"/>
      <c r="Q48" s="199" t="n"/>
    </row>
    <row r="49" ht="12" customHeight="1" s="1">
      <c r="A49" s="194" t="n"/>
      <c r="B49" s="194" t="n"/>
      <c r="C49" s="126" t="n"/>
      <c r="D49" s="126" t="n"/>
      <c r="E49" s="126" t="n"/>
      <c r="F49" s="126" t="n"/>
      <c r="G49" s="126" t="n"/>
      <c r="H49" s="126" t="n"/>
      <c r="I49" s="126" t="n"/>
      <c r="J49" s="126" t="n"/>
      <c r="K49" s="126" t="n"/>
      <c r="L49" s="127" t="n"/>
      <c r="M49" s="126" t="n"/>
      <c r="N49" s="194" t="n"/>
      <c r="O49" s="194" t="n"/>
      <c r="P49" s="194" t="n"/>
      <c r="Q49" s="199" t="n"/>
    </row>
    <row r="50" ht="12" customHeight="1" s="1">
      <c r="A50" s="194" t="n"/>
      <c r="B50" s="194" t="n"/>
      <c r="C50" s="126" t="n"/>
      <c r="D50" s="126" t="n"/>
      <c r="E50" s="126" t="n"/>
      <c r="F50" s="126" t="n"/>
      <c r="G50" s="126" t="n"/>
      <c r="H50" s="126" t="n"/>
      <c r="I50" s="126" t="n"/>
      <c r="J50" s="126" t="n"/>
      <c r="K50" s="126" t="n"/>
      <c r="L50" s="127" t="n"/>
      <c r="M50" s="126" t="n"/>
      <c r="N50" s="194" t="n"/>
      <c r="O50" s="194" t="n"/>
      <c r="P50" s="194" t="n"/>
      <c r="Q50" s="199" t="n"/>
    </row>
    <row r="51" ht="12" customHeight="1" s="1">
      <c r="A51" s="194" t="n"/>
      <c r="B51" s="194" t="n"/>
      <c r="C51" s="126" t="n"/>
      <c r="D51" s="126" t="n"/>
      <c r="E51" s="126" t="n"/>
      <c r="F51" s="126" t="n"/>
      <c r="G51" s="126" t="n"/>
      <c r="H51" s="126" t="n"/>
      <c r="I51" s="126" t="n"/>
      <c r="J51" s="126" t="n"/>
      <c r="K51" s="126" t="n"/>
      <c r="L51" s="127" t="n"/>
      <c r="M51" s="126" t="n"/>
      <c r="N51" s="194" t="n"/>
      <c r="O51" s="194" t="n"/>
      <c r="P51" s="194" t="n"/>
      <c r="Q51" s="199" t="n"/>
    </row>
    <row r="52" ht="12" customHeight="1" s="1">
      <c r="A52" s="194" t="n"/>
      <c r="B52" s="194" t="n"/>
      <c r="C52" s="126" t="n"/>
      <c r="D52" s="126" t="n"/>
      <c r="E52" s="126" t="n"/>
      <c r="F52" s="126" t="n"/>
      <c r="G52" s="126" t="n"/>
      <c r="H52" s="126" t="n"/>
      <c r="I52" s="126" t="n"/>
      <c r="J52" s="126" t="n"/>
      <c r="K52" s="126" t="n"/>
      <c r="L52" s="127" t="n"/>
      <c r="M52" s="126" t="n"/>
      <c r="N52" s="194" t="n"/>
      <c r="O52" s="194" t="n"/>
      <c r="P52" s="194" t="n"/>
      <c r="Q52" s="199" t="n"/>
    </row>
    <row r="53" ht="12" customHeight="1" s="1">
      <c r="A53" s="194" t="n"/>
      <c r="B53" s="194" t="n"/>
      <c r="C53" s="126" t="n"/>
      <c r="D53" s="126" t="n"/>
      <c r="E53" s="126" t="n"/>
      <c r="F53" s="126" t="n"/>
      <c r="G53" s="126" t="n"/>
      <c r="H53" s="126" t="n"/>
      <c r="I53" s="126" t="n"/>
      <c r="J53" s="126" t="n"/>
      <c r="K53" s="126" t="n"/>
      <c r="L53" s="127" t="n"/>
      <c r="M53" s="126" t="n"/>
      <c r="N53" s="194" t="n"/>
      <c r="O53" s="194" t="n"/>
      <c r="P53" s="194" t="n"/>
      <c r="Q53" s="199" t="n"/>
    </row>
    <row r="54" ht="12" customHeight="1" s="1">
      <c r="A54" s="194" t="n"/>
      <c r="B54" s="194" t="n"/>
      <c r="C54" s="126" t="n"/>
      <c r="D54" s="126" t="n"/>
      <c r="E54" s="126" t="n"/>
      <c r="F54" s="126" t="n"/>
      <c r="G54" s="126" t="n"/>
      <c r="H54" s="126" t="n"/>
      <c r="I54" s="126" t="n"/>
      <c r="J54" s="126" t="n"/>
      <c r="K54" s="126" t="n"/>
      <c r="L54" s="127" t="n"/>
      <c r="M54" s="126" t="n"/>
      <c r="N54" s="194" t="n"/>
      <c r="O54" s="194" t="n"/>
      <c r="P54" s="194" t="n"/>
      <c r="Q54" s="199" t="n"/>
    </row>
    <row r="55" ht="12" customHeight="1" s="1">
      <c r="A55" s="194" t="n"/>
      <c r="B55" s="194" t="n"/>
      <c r="C55" s="126" t="n"/>
      <c r="D55" s="126" t="n"/>
      <c r="E55" s="126" t="n"/>
      <c r="F55" s="126" t="n"/>
      <c r="G55" s="126" t="n"/>
      <c r="H55" s="126" t="n"/>
      <c r="I55" s="126" t="n"/>
      <c r="J55" s="126" t="n"/>
      <c r="K55" s="126" t="n"/>
      <c r="L55" s="127" t="n"/>
      <c r="M55" s="126" t="n"/>
      <c r="N55" s="194" t="n"/>
      <c r="O55" s="194" t="n"/>
      <c r="P55" s="194" t="n"/>
      <c r="Q55" s="199" t="n"/>
    </row>
    <row r="56" ht="12" customHeight="1" s="1">
      <c r="A56" s="194" t="n"/>
      <c r="B56" s="194" t="n"/>
      <c r="C56" s="126" t="n"/>
      <c r="D56" s="126" t="n"/>
      <c r="E56" s="126" t="n"/>
      <c r="F56" s="126" t="n"/>
      <c r="G56" s="126" t="n"/>
      <c r="H56" s="126" t="n"/>
      <c r="I56" s="126" t="n"/>
      <c r="J56" s="126" t="n"/>
      <c r="K56" s="126" t="n"/>
      <c r="L56" s="127" t="n"/>
      <c r="M56" s="126" t="n"/>
      <c r="N56" s="194" t="n"/>
      <c r="O56" s="194" t="n"/>
      <c r="P56" s="194" t="n"/>
      <c r="Q56" s="199" t="n"/>
    </row>
    <row r="57" ht="12" customHeight="1" s="1">
      <c r="A57" s="194" t="n"/>
      <c r="B57" s="194" t="n"/>
      <c r="C57" s="126" t="n"/>
      <c r="D57" s="126" t="n"/>
      <c r="E57" s="126" t="n"/>
      <c r="F57" s="126" t="n"/>
      <c r="G57" s="126" t="n"/>
      <c r="H57" s="126" t="n"/>
      <c r="I57" s="126" t="n"/>
      <c r="J57" s="126" t="n"/>
      <c r="K57" s="126" t="n"/>
      <c r="L57" s="127" t="n"/>
      <c r="M57" s="126" t="n"/>
      <c r="N57" s="194" t="n"/>
      <c r="O57" s="194" t="n"/>
      <c r="P57" s="194" t="n"/>
      <c r="Q57" s="199" t="n"/>
    </row>
    <row r="58" ht="12" customHeight="1" s="1">
      <c r="A58" s="194" t="n"/>
      <c r="B58" s="194" t="n"/>
      <c r="C58" s="126" t="n"/>
      <c r="D58" s="126" t="n"/>
      <c r="E58" s="126" t="n"/>
      <c r="F58" s="126" t="n"/>
      <c r="G58" s="126" t="n"/>
      <c r="H58" s="126" t="n"/>
      <c r="I58" s="126" t="n"/>
      <c r="J58" s="126" t="n"/>
      <c r="K58" s="126" t="n"/>
      <c r="L58" s="127" t="n"/>
      <c r="M58" s="126" t="n"/>
      <c r="N58" s="194" t="n"/>
      <c r="O58" s="194" t="n"/>
      <c r="P58" s="194" t="n"/>
      <c r="Q58" s="199" t="n"/>
    </row>
    <row r="59" ht="12" customHeight="1" s="1">
      <c r="A59" s="194" t="n"/>
      <c r="B59" s="194" t="n"/>
      <c r="C59" s="126" t="n"/>
      <c r="D59" s="126" t="n"/>
      <c r="E59" s="126" t="n"/>
      <c r="F59" s="126" t="n"/>
      <c r="G59" s="126" t="n"/>
      <c r="H59" s="126" t="n"/>
      <c r="I59" s="126" t="n"/>
      <c r="J59" s="126" t="n"/>
      <c r="K59" s="126" t="n"/>
      <c r="L59" s="127" t="n"/>
      <c r="M59" s="126" t="n"/>
      <c r="N59" s="194" t="n"/>
      <c r="O59" s="194" t="n"/>
      <c r="P59" s="194" t="n"/>
      <c r="Q59" s="199" t="n"/>
    </row>
    <row r="60" ht="12" customHeight="1" s="1">
      <c r="A60" s="194" t="n"/>
      <c r="B60" s="194" t="n"/>
      <c r="C60" s="126" t="n"/>
      <c r="D60" s="126" t="n"/>
      <c r="E60" s="126" t="n"/>
      <c r="F60" s="126" t="n"/>
      <c r="G60" s="126" t="n"/>
      <c r="H60" s="126" t="n"/>
      <c r="I60" s="126" t="n"/>
      <c r="J60" s="126" t="n"/>
      <c r="K60" s="126" t="n"/>
      <c r="L60" s="127" t="n"/>
      <c r="M60" s="126" t="n"/>
      <c r="N60" s="194" t="n"/>
      <c r="O60" s="194" t="n"/>
      <c r="P60" s="194" t="n"/>
      <c r="Q60" s="199" t="n"/>
    </row>
    <row r="61" ht="12" customHeight="1" s="1">
      <c r="A61" s="194" t="n"/>
      <c r="B61" s="194" t="n"/>
      <c r="C61" s="126" t="n"/>
      <c r="D61" s="126" t="n"/>
      <c r="E61" s="126" t="n"/>
      <c r="F61" s="126" t="n"/>
      <c r="G61" s="126" t="n"/>
      <c r="H61" s="126" t="n"/>
      <c r="I61" s="126" t="n"/>
      <c r="J61" s="126" t="n"/>
      <c r="K61" s="126" t="n"/>
      <c r="L61" s="127" t="n"/>
      <c r="M61" s="126" t="n"/>
      <c r="N61" s="194" t="n"/>
      <c r="O61" s="194" t="n"/>
      <c r="P61" s="194" t="n"/>
      <c r="Q61" s="199" t="n"/>
    </row>
    <row r="62" ht="12" customHeight="1" s="1">
      <c r="A62" s="194" t="n"/>
      <c r="B62" s="194" t="n"/>
      <c r="C62" s="126" t="n"/>
      <c r="D62" s="126" t="n"/>
      <c r="E62" s="126" t="n"/>
      <c r="F62" s="126" t="n"/>
      <c r="G62" s="126" t="n"/>
      <c r="H62" s="126" t="n"/>
      <c r="I62" s="126" t="n"/>
      <c r="J62" s="126" t="n"/>
      <c r="K62" s="126" t="n"/>
      <c r="L62" s="127" t="n"/>
      <c r="M62" s="126" t="n"/>
      <c r="N62" s="194" t="n"/>
      <c r="O62" s="194" t="n"/>
      <c r="P62" s="194" t="n"/>
      <c r="Q62" s="199" t="n"/>
    </row>
    <row r="63" ht="12" customHeight="1" s="1">
      <c r="A63" s="194" t="n"/>
      <c r="B63" s="194" t="n"/>
      <c r="C63" s="126" t="n"/>
      <c r="D63" s="126" t="n"/>
      <c r="E63" s="126" t="n"/>
      <c r="F63" s="126" t="n"/>
      <c r="G63" s="126" t="n"/>
      <c r="H63" s="126" t="n"/>
      <c r="I63" s="126" t="n"/>
      <c r="J63" s="126" t="n"/>
      <c r="K63" s="126" t="n"/>
      <c r="L63" s="127" t="n"/>
      <c r="M63" s="126" t="n"/>
      <c r="N63" s="194" t="n"/>
      <c r="O63" s="194" t="n"/>
      <c r="P63" s="194" t="n"/>
      <c r="Q63" s="199" t="n"/>
    </row>
    <row r="64" ht="12" customHeight="1" s="1">
      <c r="A64" s="194" t="n"/>
      <c r="B64" s="194" t="n"/>
      <c r="C64" s="126" t="n"/>
      <c r="D64" s="126" t="n"/>
      <c r="E64" s="126" t="n"/>
      <c r="F64" s="126" t="n"/>
      <c r="G64" s="126" t="n"/>
      <c r="H64" s="126" t="n"/>
      <c r="I64" s="126" t="n"/>
      <c r="J64" s="126" t="n"/>
      <c r="K64" s="126" t="n"/>
      <c r="L64" s="127" t="n"/>
      <c r="M64" s="126" t="n"/>
      <c r="N64" s="194" t="n"/>
      <c r="O64" s="194" t="n"/>
      <c r="P64" s="194" t="n"/>
      <c r="Q64" s="199" t="n"/>
    </row>
    <row r="65" ht="12" customHeight="1" s="1">
      <c r="A65" s="194" t="n"/>
      <c r="B65" s="194" t="n"/>
      <c r="C65" s="126" t="n"/>
      <c r="D65" s="126" t="n"/>
      <c r="E65" s="126" t="n"/>
      <c r="F65" s="126" t="n"/>
      <c r="G65" s="126" t="n"/>
      <c r="H65" s="126" t="n"/>
      <c r="I65" s="126" t="n"/>
      <c r="J65" s="126" t="n"/>
      <c r="K65" s="126" t="n"/>
      <c r="L65" s="127" t="n"/>
      <c r="M65" s="126" t="n"/>
      <c r="N65" s="194" t="n"/>
      <c r="O65" s="194" t="n"/>
      <c r="P65" s="194" t="n"/>
      <c r="Q65" s="199" t="n"/>
    </row>
    <row r="66" ht="12" customHeight="1" s="1">
      <c r="A66" s="194" t="n"/>
      <c r="B66" s="194" t="n"/>
      <c r="C66" s="126" t="n"/>
      <c r="D66" s="126" t="n"/>
      <c r="E66" s="126" t="n"/>
      <c r="F66" s="126" t="n"/>
      <c r="G66" s="126" t="n"/>
      <c r="H66" s="126" t="n"/>
      <c r="I66" s="126" t="n"/>
      <c r="J66" s="126" t="n"/>
      <c r="K66" s="126" t="n"/>
      <c r="L66" s="127" t="n"/>
      <c r="M66" s="126" t="n"/>
      <c r="N66" s="194" t="n"/>
      <c r="O66" s="194" t="n"/>
      <c r="P66" s="194" t="n"/>
      <c r="Q66" s="199" t="n"/>
    </row>
    <row r="67" ht="12" customHeight="1" s="1">
      <c r="A67" s="194" t="n"/>
      <c r="B67" s="194" t="n"/>
      <c r="C67" s="126" t="n"/>
      <c r="D67" s="126" t="n"/>
      <c r="E67" s="126" t="n"/>
      <c r="F67" s="126" t="n"/>
      <c r="G67" s="126" t="n"/>
      <c r="H67" s="126" t="n"/>
      <c r="I67" s="126" t="n"/>
      <c r="J67" s="126" t="n"/>
      <c r="K67" s="126" t="n"/>
      <c r="L67" s="127" t="n"/>
      <c r="M67" s="126" t="n"/>
      <c r="N67" s="194" t="n"/>
      <c r="O67" s="194" t="n"/>
      <c r="P67" s="194" t="n"/>
      <c r="Q67" s="199" t="n"/>
    </row>
    <row r="68" ht="12" customHeight="1" s="1">
      <c r="A68" s="194" t="n"/>
      <c r="B68" s="194" t="n"/>
      <c r="C68" s="126" t="n"/>
      <c r="D68" s="126" t="n"/>
      <c r="E68" s="126" t="n"/>
      <c r="F68" s="126" t="n"/>
      <c r="G68" s="126" t="n"/>
      <c r="H68" s="126" t="n"/>
      <c r="I68" s="126" t="n"/>
      <c r="J68" s="126" t="n"/>
      <c r="K68" s="126" t="n"/>
      <c r="L68" s="127" t="n"/>
      <c r="M68" s="126" t="n"/>
      <c r="N68" s="194" t="n"/>
      <c r="O68" s="194" t="n"/>
      <c r="P68" s="194" t="n"/>
      <c r="Q68" s="199" t="n"/>
    </row>
    <row r="69" ht="12" customHeight="1" s="1">
      <c r="A69" s="194" t="n"/>
      <c r="B69" s="194" t="n"/>
      <c r="C69" s="126" t="n"/>
      <c r="D69" s="126" t="n"/>
      <c r="E69" s="126" t="n"/>
      <c r="F69" s="126" t="n"/>
      <c r="G69" s="126" t="n"/>
      <c r="H69" s="126" t="n"/>
      <c r="I69" s="126" t="n"/>
      <c r="J69" s="126" t="n"/>
      <c r="K69" s="126" t="n"/>
      <c r="L69" s="127" t="n"/>
      <c r="M69" s="126" t="n"/>
      <c r="N69" s="194" t="n"/>
      <c r="O69" s="194" t="n"/>
      <c r="P69" s="194" t="n"/>
      <c r="Q69" s="199" t="n"/>
    </row>
    <row r="70" ht="12" customHeight="1" s="1">
      <c r="A70" s="194" t="n"/>
      <c r="B70" s="194" t="n"/>
      <c r="C70" s="126" t="n"/>
      <c r="D70" s="126" t="n"/>
      <c r="E70" s="126" t="n"/>
      <c r="F70" s="126" t="n"/>
      <c r="G70" s="126" t="n"/>
      <c r="H70" s="126" t="n"/>
      <c r="I70" s="126" t="n"/>
      <c r="J70" s="126" t="n"/>
      <c r="K70" s="126" t="n"/>
      <c r="L70" s="127" t="n"/>
      <c r="M70" s="126" t="n"/>
      <c r="N70" s="194" t="n"/>
      <c r="O70" s="194" t="n"/>
      <c r="P70" s="194" t="n"/>
      <c r="Q70" s="199" t="n"/>
    </row>
    <row r="71" ht="12" customHeight="1" s="1">
      <c r="A71" s="194" t="n"/>
      <c r="B71" s="194" t="n"/>
      <c r="C71" s="126" t="n"/>
      <c r="D71" s="126" t="n"/>
      <c r="E71" s="126" t="n"/>
      <c r="F71" s="126" t="n"/>
      <c r="G71" s="126" t="n"/>
      <c r="H71" s="126" t="n"/>
      <c r="I71" s="126" t="n"/>
      <c r="J71" s="126" t="n"/>
      <c r="K71" s="126" t="n"/>
      <c r="L71" s="127" t="n"/>
      <c r="M71" s="126" t="n"/>
      <c r="N71" s="194" t="n"/>
      <c r="O71" s="194" t="n"/>
      <c r="P71" s="194" t="n"/>
      <c r="Q71" s="199" t="n"/>
    </row>
    <row r="72" ht="12" customHeight="1" s="1">
      <c r="A72" s="194" t="n"/>
      <c r="B72" s="194" t="n"/>
      <c r="C72" s="126" t="n"/>
      <c r="D72" s="126" t="n"/>
      <c r="E72" s="126" t="n"/>
      <c r="F72" s="126" t="n"/>
      <c r="G72" s="126" t="n"/>
      <c r="H72" s="126" t="n"/>
      <c r="I72" s="126" t="n"/>
      <c r="J72" s="126" t="n"/>
      <c r="K72" s="126" t="n"/>
      <c r="L72" s="127" t="n"/>
      <c r="M72" s="126" t="n"/>
      <c r="N72" s="194" t="n"/>
      <c r="O72" s="194" t="n"/>
      <c r="P72" s="194" t="n"/>
      <c r="Q72" s="199" t="n"/>
    </row>
    <row r="73" ht="12" customHeight="1" s="1">
      <c r="A73" s="194" t="n"/>
      <c r="B73" s="194" t="n"/>
      <c r="C73" s="126" t="n"/>
      <c r="D73" s="126" t="n"/>
      <c r="E73" s="126" t="n"/>
      <c r="F73" s="126" t="n"/>
      <c r="G73" s="126" t="n"/>
      <c r="H73" s="126" t="n"/>
      <c r="I73" s="126" t="n"/>
      <c r="J73" s="126" t="n"/>
      <c r="K73" s="126" t="n"/>
      <c r="L73" s="127" t="n"/>
      <c r="M73" s="126" t="n"/>
      <c r="N73" s="194" t="n"/>
      <c r="O73" s="194" t="n"/>
      <c r="P73" s="194" t="n"/>
      <c r="Q73" s="199" t="n"/>
    </row>
    <row r="74" ht="12" customHeight="1" s="1">
      <c r="A74" s="194" t="n"/>
      <c r="B74" s="194" t="n"/>
      <c r="C74" s="126" t="n"/>
      <c r="D74" s="126" t="n"/>
      <c r="E74" s="126" t="n"/>
      <c r="F74" s="126" t="n"/>
      <c r="G74" s="126" t="n"/>
      <c r="H74" s="126" t="n"/>
      <c r="I74" s="126" t="n"/>
      <c r="J74" s="126" t="n"/>
      <c r="K74" s="126" t="n"/>
      <c r="L74" s="127" t="n"/>
      <c r="M74" s="126" t="n"/>
      <c r="N74" s="194" t="n"/>
      <c r="O74" s="194" t="n"/>
      <c r="P74" s="194" t="n"/>
      <c r="Q74" s="199" t="n"/>
    </row>
    <row r="75" ht="12" customHeight="1" s="1">
      <c r="A75" s="194" t="n"/>
      <c r="B75" s="194" t="n"/>
      <c r="C75" s="126" t="n"/>
      <c r="D75" s="126" t="n"/>
      <c r="E75" s="126" t="n"/>
      <c r="F75" s="126" t="n"/>
      <c r="G75" s="126" t="n"/>
      <c r="H75" s="126" t="n"/>
      <c r="I75" s="126" t="n"/>
      <c r="J75" s="126" t="n"/>
      <c r="K75" s="126" t="n"/>
      <c r="L75" s="127" t="n"/>
      <c r="M75" s="126" t="n"/>
      <c r="N75" s="194" t="n"/>
      <c r="O75" s="194" t="n"/>
      <c r="P75" s="194" t="n"/>
      <c r="Q75" s="199" t="n"/>
    </row>
    <row r="76" ht="12" customHeight="1" s="1">
      <c r="A76" s="194" t="n"/>
      <c r="B76" s="194" t="n"/>
      <c r="C76" s="126" t="n"/>
      <c r="D76" s="126" t="n"/>
      <c r="E76" s="126" t="n"/>
      <c r="F76" s="126" t="n"/>
      <c r="G76" s="126" t="n"/>
      <c r="H76" s="126" t="n"/>
      <c r="I76" s="126" t="n"/>
      <c r="J76" s="126" t="n"/>
      <c r="K76" s="126" t="n"/>
      <c r="L76" s="127" t="n"/>
      <c r="M76" s="126" t="n"/>
      <c r="N76" s="194" t="n"/>
      <c r="O76" s="194" t="n"/>
      <c r="P76" s="194" t="n"/>
      <c r="Q76" s="199" t="n"/>
    </row>
    <row r="77" ht="12" customHeight="1" s="1">
      <c r="A77" s="194" t="n"/>
      <c r="B77" s="194" t="n"/>
      <c r="C77" s="126" t="n"/>
      <c r="D77" s="126" t="n"/>
      <c r="E77" s="126" t="n"/>
      <c r="F77" s="126" t="n"/>
      <c r="G77" s="126" t="n"/>
      <c r="H77" s="126" t="n"/>
      <c r="I77" s="126" t="n"/>
      <c r="J77" s="126" t="n"/>
      <c r="K77" s="126" t="n"/>
      <c r="L77" s="127" t="n"/>
      <c r="M77" s="126" t="n"/>
      <c r="N77" s="194" t="n"/>
      <c r="O77" s="194" t="n"/>
      <c r="P77" s="194" t="n"/>
      <c r="Q77" s="199" t="n"/>
    </row>
    <row r="78" ht="12" customHeight="1" s="1">
      <c r="A78" s="194" t="n"/>
      <c r="B78" s="194" t="n"/>
      <c r="C78" s="126" t="n"/>
      <c r="D78" s="126" t="n"/>
      <c r="E78" s="126" t="n"/>
      <c r="F78" s="126" t="n"/>
      <c r="G78" s="126" t="n"/>
      <c r="H78" s="126" t="n"/>
      <c r="I78" s="126" t="n"/>
      <c r="J78" s="126" t="n"/>
      <c r="K78" s="126" t="n"/>
      <c r="L78" s="127" t="n"/>
      <c r="M78" s="126" t="n"/>
      <c r="N78" s="194" t="n"/>
      <c r="O78" s="194" t="n"/>
      <c r="P78" s="194" t="n"/>
      <c r="Q78" s="199" t="n"/>
    </row>
    <row r="79" ht="12" customHeight="1" s="1">
      <c r="A79" s="194" t="n"/>
      <c r="B79" s="194" t="n"/>
      <c r="C79" s="126" t="n"/>
      <c r="D79" s="126" t="n"/>
      <c r="E79" s="126" t="n"/>
      <c r="F79" s="126" t="n"/>
      <c r="G79" s="126" t="n"/>
      <c r="H79" s="126" t="n"/>
      <c r="I79" s="126" t="n"/>
      <c r="J79" s="126" t="n"/>
      <c r="K79" s="126" t="n"/>
      <c r="L79" s="127" t="n"/>
      <c r="M79" s="126" t="n"/>
      <c r="N79" s="194" t="n"/>
      <c r="O79" s="194" t="n"/>
      <c r="P79" s="194" t="n"/>
      <c r="Q79" s="199" t="n"/>
    </row>
    <row r="80" ht="12" customHeight="1" s="1">
      <c r="A80" s="194" t="n"/>
      <c r="B80" s="194" t="n"/>
      <c r="C80" s="126" t="n"/>
      <c r="D80" s="126" t="n"/>
      <c r="E80" s="126" t="n"/>
      <c r="F80" s="126" t="n"/>
      <c r="G80" s="126" t="n"/>
      <c r="H80" s="126" t="n"/>
      <c r="I80" s="126" t="n"/>
      <c r="J80" s="126" t="n"/>
      <c r="K80" s="126" t="n"/>
      <c r="L80" s="127" t="n"/>
      <c r="M80" s="126" t="n"/>
      <c r="N80" s="194" t="n"/>
      <c r="O80" s="194" t="n"/>
      <c r="P80" s="194" t="n"/>
      <c r="Q80" s="199" t="n"/>
    </row>
    <row r="81" ht="12" customHeight="1" s="1">
      <c r="A81" s="194" t="n"/>
      <c r="B81" s="194" t="n"/>
      <c r="C81" s="126" t="n"/>
      <c r="D81" s="126" t="n"/>
      <c r="E81" s="126" t="n"/>
      <c r="F81" s="126" t="n"/>
      <c r="G81" s="126" t="n"/>
      <c r="H81" s="126" t="n"/>
      <c r="I81" s="126" t="n"/>
      <c r="J81" s="126" t="n"/>
      <c r="K81" s="126" t="n"/>
      <c r="L81" s="127" t="n"/>
      <c r="M81" s="126" t="n"/>
      <c r="N81" s="194" t="n"/>
      <c r="O81" s="194" t="n"/>
      <c r="P81" s="194" t="n"/>
      <c r="Q81" s="199" t="n"/>
    </row>
    <row r="82" ht="12" customHeight="1" s="1">
      <c r="A82" s="194" t="n"/>
      <c r="B82" s="194" t="n"/>
      <c r="C82" s="126" t="n"/>
      <c r="D82" s="126" t="n"/>
      <c r="E82" s="126" t="n"/>
      <c r="F82" s="126" t="n"/>
      <c r="G82" s="126" t="n"/>
      <c r="H82" s="126" t="n"/>
      <c r="I82" s="126" t="n"/>
      <c r="J82" s="126" t="n"/>
      <c r="K82" s="126" t="n"/>
      <c r="L82" s="127" t="n"/>
      <c r="M82" s="126" t="n"/>
      <c r="N82" s="194" t="n"/>
      <c r="O82" s="194" t="n"/>
      <c r="P82" s="194" t="n"/>
      <c r="Q82" s="199" t="n"/>
    </row>
    <row r="83" ht="12" customHeight="1" s="1">
      <c r="A83" s="194" t="n"/>
      <c r="B83" s="194" t="n"/>
      <c r="C83" s="126" t="n"/>
      <c r="D83" s="126" t="n"/>
      <c r="E83" s="126" t="n"/>
      <c r="F83" s="126" t="n"/>
      <c r="G83" s="126" t="n"/>
      <c r="H83" s="126" t="n"/>
      <c r="I83" s="126" t="n"/>
      <c r="J83" s="126" t="n"/>
      <c r="K83" s="126" t="n"/>
      <c r="L83" s="127" t="n"/>
      <c r="M83" s="126" t="n"/>
      <c r="N83" s="194" t="n"/>
      <c r="O83" s="194" t="n"/>
      <c r="P83" s="194" t="n"/>
      <c r="Q83" s="199" t="n"/>
    </row>
    <row r="84" ht="12" customHeight="1" s="1">
      <c r="A84" s="194" t="n"/>
      <c r="B84" s="194" t="n"/>
      <c r="C84" s="126" t="n"/>
      <c r="D84" s="126" t="n"/>
      <c r="E84" s="126" t="n"/>
      <c r="F84" s="126" t="n"/>
      <c r="G84" s="126" t="n"/>
      <c r="H84" s="126" t="n"/>
      <c r="I84" s="126" t="n"/>
      <c r="J84" s="126" t="n"/>
      <c r="K84" s="126" t="n"/>
      <c r="L84" s="127" t="n"/>
      <c r="M84" s="126" t="n"/>
      <c r="N84" s="194" t="n"/>
      <c r="O84" s="194" t="n"/>
      <c r="P84" s="194" t="n"/>
      <c r="Q84" s="199" t="n"/>
    </row>
    <row r="85" ht="12" customHeight="1" s="1">
      <c r="A85" s="194" t="n"/>
      <c r="B85" s="194" t="n"/>
      <c r="C85" s="126" t="n"/>
      <c r="D85" s="126" t="n"/>
      <c r="E85" s="126" t="n"/>
      <c r="F85" s="126" t="n"/>
      <c r="G85" s="126" t="n"/>
      <c r="H85" s="126" t="n"/>
      <c r="I85" s="126" t="n"/>
      <c r="J85" s="126" t="n"/>
      <c r="K85" s="126" t="n"/>
      <c r="L85" s="127" t="n"/>
      <c r="M85" s="126" t="n"/>
      <c r="N85" s="194" t="n"/>
      <c r="O85" s="194" t="n"/>
      <c r="P85" s="194" t="n"/>
      <c r="Q85" s="199" t="n"/>
    </row>
    <row r="86" ht="12" customHeight="1" s="1">
      <c r="A86" s="194" t="n"/>
      <c r="B86" s="194" t="n"/>
      <c r="C86" s="126" t="n"/>
      <c r="D86" s="126" t="n"/>
      <c r="E86" s="126" t="n"/>
      <c r="F86" s="126" t="n"/>
      <c r="G86" s="126" t="n"/>
      <c r="H86" s="126" t="n"/>
      <c r="I86" s="126" t="n"/>
      <c r="J86" s="126" t="n"/>
      <c r="K86" s="126" t="n"/>
      <c r="L86" s="127" t="n"/>
      <c r="M86" s="126" t="n"/>
      <c r="N86" s="194" t="n"/>
      <c r="O86" s="194" t="n"/>
      <c r="P86" s="194" t="n"/>
      <c r="Q86" s="199" t="n"/>
    </row>
    <row r="87" ht="12" customHeight="1" s="1">
      <c r="A87" s="194" t="n"/>
      <c r="B87" s="194" t="n"/>
      <c r="C87" s="126" t="n"/>
      <c r="D87" s="126" t="n"/>
      <c r="E87" s="126" t="n"/>
      <c r="F87" s="126" t="n"/>
      <c r="G87" s="126" t="n"/>
      <c r="H87" s="126" t="n"/>
      <c r="I87" s="126" t="n"/>
      <c r="J87" s="126" t="n"/>
      <c r="K87" s="126" t="n"/>
      <c r="L87" s="127" t="n"/>
      <c r="M87" s="126" t="n"/>
      <c r="N87" s="194" t="n"/>
      <c r="O87" s="194" t="n"/>
      <c r="P87" s="194" t="n"/>
      <c r="Q87" s="199" t="n"/>
    </row>
    <row r="88" ht="12" customHeight="1" s="1">
      <c r="A88" s="194" t="n"/>
      <c r="B88" s="194" t="n"/>
      <c r="C88" s="126" t="n"/>
      <c r="D88" s="126" t="n"/>
      <c r="E88" s="126" t="n"/>
      <c r="F88" s="126" t="n"/>
      <c r="G88" s="126" t="n"/>
      <c r="H88" s="126" t="n"/>
      <c r="I88" s="126" t="n"/>
      <c r="J88" s="126" t="n"/>
      <c r="K88" s="126" t="n"/>
      <c r="L88" s="127" t="n"/>
      <c r="M88" s="126" t="n"/>
      <c r="N88" s="194" t="n"/>
      <c r="O88" s="194" t="n"/>
      <c r="P88" s="194" t="n"/>
      <c r="Q88" s="199" t="n"/>
    </row>
    <row r="89" ht="12" customHeight="1" s="1">
      <c r="A89" s="194" t="n"/>
      <c r="B89" s="194" t="n"/>
      <c r="C89" s="126" t="n"/>
      <c r="D89" s="126" t="n"/>
      <c r="E89" s="126" t="n"/>
      <c r="F89" s="126" t="n"/>
      <c r="G89" s="126" t="n"/>
      <c r="H89" s="126" t="n"/>
      <c r="I89" s="126" t="n"/>
      <c r="J89" s="126" t="n"/>
      <c r="K89" s="126" t="n"/>
      <c r="L89" s="127" t="n"/>
      <c r="M89" s="126" t="n"/>
      <c r="N89" s="194" t="n"/>
      <c r="O89" s="194" t="n"/>
      <c r="P89" s="194" t="n"/>
      <c r="Q89" s="199" t="n"/>
    </row>
    <row r="90" ht="12" customHeight="1" s="1">
      <c r="A90" s="194" t="n"/>
      <c r="B90" s="194" t="n"/>
      <c r="C90" s="126" t="n"/>
      <c r="D90" s="126" t="n"/>
      <c r="E90" s="126" t="n"/>
      <c r="F90" s="126" t="n"/>
      <c r="G90" s="126" t="n"/>
      <c r="H90" s="126" t="n"/>
      <c r="I90" s="126" t="n"/>
      <c r="J90" s="126" t="n"/>
      <c r="K90" s="126" t="n"/>
      <c r="L90" s="127" t="n"/>
      <c r="M90" s="126" t="n"/>
      <c r="N90" s="194" t="n"/>
      <c r="O90" s="194" t="n"/>
      <c r="P90" s="194" t="n"/>
      <c r="Q90" s="199" t="n"/>
    </row>
    <row r="91" ht="12" customHeight="1" s="1">
      <c r="A91" s="194" t="n"/>
      <c r="B91" s="194" t="n"/>
      <c r="C91" s="126" t="n"/>
      <c r="D91" s="126" t="n"/>
      <c r="E91" s="126" t="n"/>
      <c r="F91" s="126" t="n"/>
      <c r="G91" s="126" t="n"/>
      <c r="H91" s="126" t="n"/>
      <c r="I91" s="126" t="n"/>
      <c r="J91" s="126" t="n"/>
      <c r="K91" s="126" t="n"/>
      <c r="L91" s="127" t="n"/>
      <c r="M91" s="126" t="n"/>
      <c r="N91" s="194" t="n"/>
      <c r="O91" s="194" t="n"/>
      <c r="P91" s="194" t="n"/>
      <c r="Q91" s="199" t="n"/>
    </row>
    <row r="92" ht="12" customHeight="1" s="1">
      <c r="A92" s="194" t="n"/>
      <c r="B92" s="194" t="n"/>
      <c r="C92" s="126" t="n"/>
      <c r="D92" s="126" t="n"/>
      <c r="E92" s="126" t="n"/>
      <c r="F92" s="126" t="n"/>
      <c r="G92" s="126" t="n"/>
      <c r="H92" s="126" t="n"/>
      <c r="I92" s="126" t="n"/>
      <c r="J92" s="126" t="n"/>
      <c r="K92" s="126" t="n"/>
      <c r="L92" s="127" t="n"/>
      <c r="M92" s="126" t="n"/>
      <c r="N92" s="194" t="n"/>
      <c r="O92" s="194" t="n"/>
      <c r="P92" s="194" t="n"/>
      <c r="Q92" s="199" t="n"/>
    </row>
    <row r="93" ht="12" customHeight="1" s="1">
      <c r="A93" s="194" t="n"/>
      <c r="B93" s="194" t="n"/>
      <c r="C93" s="126" t="n"/>
      <c r="D93" s="126" t="n"/>
      <c r="E93" s="126" t="n"/>
      <c r="F93" s="126" t="n"/>
      <c r="G93" s="126" t="n"/>
      <c r="H93" s="126" t="n"/>
      <c r="I93" s="126" t="n"/>
      <c r="J93" s="126" t="n"/>
      <c r="K93" s="126" t="n"/>
      <c r="L93" s="127" t="n"/>
      <c r="M93" s="126" t="n"/>
      <c r="N93" s="194" t="n"/>
      <c r="O93" s="194" t="n"/>
      <c r="P93" s="194" t="n"/>
      <c r="Q93" s="199" t="n"/>
    </row>
    <row r="94" ht="12" customHeight="1" s="1">
      <c r="A94" s="194" t="n"/>
      <c r="B94" s="194" t="n"/>
      <c r="C94" s="126" t="n"/>
      <c r="D94" s="126" t="n"/>
      <c r="E94" s="126" t="n"/>
      <c r="F94" s="126" t="n"/>
      <c r="G94" s="126" t="n"/>
      <c r="H94" s="126" t="n"/>
      <c r="I94" s="126" t="n"/>
      <c r="J94" s="126" t="n"/>
      <c r="K94" s="126" t="n"/>
      <c r="L94" s="127" t="n"/>
      <c r="M94" s="126" t="n"/>
      <c r="N94" s="194" t="n"/>
      <c r="O94" s="194" t="n"/>
      <c r="P94" s="194" t="n"/>
      <c r="Q94" s="199" t="n"/>
    </row>
    <row r="95" ht="12" customHeight="1" s="1">
      <c r="A95" s="194" t="n"/>
      <c r="B95" s="194" t="n"/>
      <c r="C95" s="126" t="n"/>
      <c r="D95" s="126" t="n"/>
      <c r="E95" s="126" t="n"/>
      <c r="F95" s="126" t="n"/>
      <c r="G95" s="126" t="n"/>
      <c r="H95" s="126" t="n"/>
      <c r="I95" s="126" t="n"/>
      <c r="J95" s="126" t="n"/>
      <c r="K95" s="126" t="n"/>
      <c r="L95" s="127" t="n"/>
      <c r="M95" s="126" t="n"/>
      <c r="N95" s="194" t="n"/>
      <c r="O95" s="194" t="n"/>
      <c r="P95" s="194" t="n"/>
      <c r="Q95" s="199" t="n"/>
    </row>
    <row r="96" ht="12" customHeight="1" s="1">
      <c r="A96" s="194" t="n"/>
      <c r="B96" s="194" t="n"/>
      <c r="C96" s="126" t="n"/>
      <c r="D96" s="126" t="n"/>
      <c r="E96" s="126" t="n"/>
      <c r="F96" s="126" t="n"/>
      <c r="G96" s="126" t="n"/>
      <c r="H96" s="126" t="n"/>
      <c r="I96" s="126" t="n"/>
      <c r="J96" s="126" t="n"/>
      <c r="K96" s="126" t="n"/>
      <c r="L96" s="127" t="n"/>
      <c r="M96" s="126" t="n"/>
      <c r="N96" s="194" t="n"/>
      <c r="O96" s="194" t="n"/>
      <c r="P96" s="194" t="n"/>
      <c r="Q96" s="199" t="n"/>
    </row>
    <row r="97" ht="12" customHeight="1" s="1">
      <c r="A97" s="194" t="n"/>
      <c r="B97" s="194" t="n"/>
      <c r="C97" s="126" t="n"/>
      <c r="D97" s="126" t="n"/>
      <c r="E97" s="126" t="n"/>
      <c r="F97" s="126" t="n"/>
      <c r="G97" s="126" t="n"/>
      <c r="H97" s="126" t="n"/>
      <c r="I97" s="126" t="n"/>
      <c r="J97" s="126" t="n"/>
      <c r="K97" s="126" t="n"/>
      <c r="L97" s="127" t="n"/>
      <c r="M97" s="126" t="n"/>
      <c r="N97" s="194" t="n"/>
      <c r="O97" s="194" t="n"/>
      <c r="P97" s="194" t="n"/>
      <c r="Q97" s="199" t="n"/>
    </row>
    <row r="98" ht="12" customHeight="1" s="1">
      <c r="A98" s="194" t="n"/>
      <c r="B98" s="194" t="n"/>
      <c r="C98" s="126" t="n"/>
      <c r="D98" s="126" t="n"/>
      <c r="E98" s="126" t="n"/>
      <c r="F98" s="126" t="n"/>
      <c r="G98" s="126" t="n"/>
      <c r="H98" s="126" t="n"/>
      <c r="I98" s="126" t="n"/>
      <c r="J98" s="126" t="n"/>
      <c r="K98" s="126" t="n"/>
      <c r="L98" s="127" t="n"/>
      <c r="M98" s="126" t="n"/>
      <c r="N98" s="194" t="n"/>
      <c r="O98" s="194" t="n"/>
      <c r="P98" s="194" t="n"/>
      <c r="Q98" s="199" t="n"/>
    </row>
    <row r="99" ht="12" customHeight="1" s="1">
      <c r="A99" s="194" t="n"/>
      <c r="B99" s="194" t="n"/>
      <c r="C99" s="126" t="n"/>
      <c r="D99" s="126" t="n"/>
      <c r="E99" s="126" t="n"/>
      <c r="F99" s="126" t="n"/>
      <c r="G99" s="126" t="n"/>
      <c r="H99" s="126" t="n"/>
      <c r="I99" s="126" t="n"/>
      <c r="J99" s="126" t="n"/>
      <c r="K99" s="126" t="n"/>
      <c r="L99" s="127" t="n"/>
      <c r="M99" s="126" t="n"/>
      <c r="N99" s="194" t="n"/>
      <c r="O99" s="194" t="n"/>
      <c r="P99" s="194" t="n"/>
      <c r="Q99" s="199" t="n"/>
    </row>
    <row r="100" ht="12" customHeight="1" s="1">
      <c r="A100" s="194" t="n"/>
      <c r="B100" s="194" t="n"/>
      <c r="C100" s="126" t="n"/>
      <c r="D100" s="126" t="n"/>
      <c r="E100" s="126" t="n"/>
      <c r="F100" s="126" t="n"/>
      <c r="G100" s="126" t="n"/>
      <c r="H100" s="126" t="n"/>
      <c r="I100" s="126" t="n"/>
      <c r="J100" s="126" t="n"/>
      <c r="K100" s="126" t="n"/>
      <c r="L100" s="127" t="n"/>
      <c r="M100" s="126" t="n"/>
      <c r="N100" s="194" t="n"/>
      <c r="O100" s="194" t="n"/>
      <c r="P100" s="194" t="n"/>
      <c r="Q100" s="199" t="n"/>
    </row>
    <row r="101" ht="12" customHeight="1" s="1">
      <c r="A101" s="194" t="n"/>
      <c r="B101" s="194" t="n"/>
      <c r="C101" s="126" t="n"/>
      <c r="D101" s="126" t="n"/>
      <c r="E101" s="126" t="n"/>
      <c r="F101" s="126" t="n"/>
      <c r="G101" s="126" t="n"/>
      <c r="H101" s="126" t="n"/>
      <c r="I101" s="126" t="n"/>
      <c r="J101" s="126" t="n"/>
      <c r="K101" s="126" t="n"/>
      <c r="L101" s="127" t="n"/>
      <c r="M101" s="126" t="n"/>
      <c r="N101" s="194" t="n"/>
      <c r="O101" s="194" t="n"/>
      <c r="P101" s="194" t="n"/>
      <c r="Q101" s="199" t="n"/>
    </row>
    <row r="102" ht="12" customHeight="1" s="1">
      <c r="A102" s="194" t="n"/>
      <c r="B102" s="194" t="n"/>
      <c r="C102" s="126" t="n"/>
      <c r="D102" s="126" t="n"/>
      <c r="E102" s="126" t="n"/>
      <c r="F102" s="126" t="n"/>
      <c r="G102" s="126" t="n"/>
      <c r="H102" s="126" t="n"/>
      <c r="I102" s="126" t="n"/>
      <c r="J102" s="126" t="n"/>
      <c r="K102" s="126" t="n"/>
      <c r="L102" s="127" t="n"/>
      <c r="M102" s="126" t="n"/>
      <c r="N102" s="194" t="n"/>
      <c r="O102" s="194" t="n"/>
      <c r="P102" s="194" t="n"/>
      <c r="Q102" s="199" t="n"/>
    </row>
    <row r="103" ht="12" customHeight="1" s="1">
      <c r="A103" s="194" t="n"/>
      <c r="B103" s="194" t="n"/>
      <c r="C103" s="126" t="n"/>
      <c r="D103" s="126" t="n"/>
      <c r="E103" s="126" t="n"/>
      <c r="F103" s="126" t="n"/>
      <c r="G103" s="126" t="n"/>
      <c r="H103" s="126" t="n"/>
      <c r="I103" s="126" t="n"/>
      <c r="J103" s="126" t="n"/>
      <c r="K103" s="126" t="n"/>
      <c r="L103" s="127" t="n"/>
      <c r="M103" s="126" t="n"/>
      <c r="N103" s="194" t="n"/>
      <c r="O103" s="194" t="n"/>
      <c r="P103" s="194" t="n"/>
      <c r="Q103" s="199" t="n"/>
    </row>
    <row r="104" ht="12" customHeight="1" s="1">
      <c r="A104" s="194" t="n"/>
      <c r="B104" s="194" t="n"/>
      <c r="C104" s="126" t="n"/>
      <c r="D104" s="126" t="n"/>
      <c r="E104" s="126" t="n"/>
      <c r="F104" s="126" t="n"/>
      <c r="G104" s="126" t="n"/>
      <c r="H104" s="126" t="n"/>
      <c r="I104" s="126" t="n"/>
      <c r="J104" s="126" t="n"/>
      <c r="K104" s="126" t="n"/>
      <c r="L104" s="127" t="n"/>
      <c r="M104" s="126" t="n"/>
      <c r="N104" s="194" t="n"/>
      <c r="O104" s="194" t="n"/>
      <c r="P104" s="194" t="n"/>
      <c r="Q104" s="199" t="n"/>
    </row>
    <row r="105" ht="12" customHeight="1" s="1">
      <c r="A105" s="194" t="n"/>
      <c r="B105" s="194" t="n"/>
      <c r="C105" s="126" t="n"/>
      <c r="D105" s="126" t="n"/>
      <c r="E105" s="126" t="n"/>
      <c r="F105" s="126" t="n"/>
      <c r="G105" s="126" t="n"/>
      <c r="H105" s="126" t="n"/>
      <c r="I105" s="126" t="n"/>
      <c r="J105" s="126" t="n"/>
      <c r="K105" s="126" t="n"/>
      <c r="L105" s="127" t="n"/>
      <c r="M105" s="126" t="n"/>
      <c r="N105" s="194" t="n"/>
      <c r="O105" s="194" t="n"/>
      <c r="P105" s="194" t="n"/>
      <c r="Q105" s="199" t="n"/>
    </row>
    <row r="106" ht="12" customHeight="1" s="1">
      <c r="A106" s="194" t="n"/>
      <c r="B106" s="194" t="n"/>
      <c r="C106" s="126" t="n"/>
      <c r="D106" s="126" t="n"/>
      <c r="E106" s="126" t="n"/>
      <c r="F106" s="126" t="n"/>
      <c r="G106" s="126" t="n"/>
      <c r="H106" s="126" t="n"/>
      <c r="I106" s="126" t="n"/>
      <c r="J106" s="126" t="n"/>
      <c r="K106" s="126" t="n"/>
      <c r="L106" s="127" t="n"/>
      <c r="M106" s="126" t="n"/>
      <c r="N106" s="194" t="n"/>
      <c r="O106" s="194" t="n"/>
      <c r="P106" s="194" t="n"/>
      <c r="Q106" s="199" t="n"/>
    </row>
    <row r="107" ht="12" customHeight="1" s="1">
      <c r="A107" s="194" t="n"/>
      <c r="B107" s="194" t="n"/>
      <c r="C107" s="126" t="n"/>
      <c r="D107" s="126" t="n"/>
      <c r="E107" s="126" t="n"/>
      <c r="F107" s="126" t="n"/>
      <c r="G107" s="126" t="n"/>
      <c r="H107" s="126" t="n"/>
      <c r="I107" s="126" t="n"/>
      <c r="J107" s="126" t="n"/>
      <c r="K107" s="126" t="n"/>
      <c r="L107" s="127" t="n"/>
      <c r="M107" s="126" t="n"/>
      <c r="N107" s="194" t="n"/>
      <c r="O107" s="194" t="n"/>
      <c r="P107" s="194" t="n"/>
      <c r="Q107" s="199" t="n"/>
    </row>
    <row r="108" ht="12" customHeight="1" s="1">
      <c r="A108" s="194" t="n"/>
      <c r="B108" s="194" t="n"/>
      <c r="C108" s="126" t="n"/>
      <c r="D108" s="126" t="n"/>
      <c r="E108" s="126" t="n"/>
      <c r="F108" s="126" t="n"/>
      <c r="G108" s="126" t="n"/>
      <c r="H108" s="126" t="n"/>
      <c r="I108" s="126" t="n"/>
      <c r="J108" s="126" t="n"/>
      <c r="K108" s="126" t="n"/>
      <c r="L108" s="127" t="n"/>
      <c r="M108" s="126" t="n"/>
      <c r="N108" s="194" t="n"/>
      <c r="O108" s="194" t="n"/>
      <c r="P108" s="194" t="n"/>
      <c r="Q108" s="199" t="n"/>
    </row>
    <row r="109" ht="12" customHeight="1" s="1">
      <c r="A109" s="194" t="n"/>
      <c r="B109" s="194" t="n"/>
      <c r="C109" s="126" t="n"/>
      <c r="D109" s="126" t="n"/>
      <c r="E109" s="126" t="n"/>
      <c r="F109" s="126" t="n"/>
      <c r="G109" s="126" t="n"/>
      <c r="H109" s="126" t="n"/>
      <c r="I109" s="126" t="n"/>
      <c r="J109" s="126" t="n"/>
      <c r="K109" s="126" t="n"/>
      <c r="L109" s="127" t="n"/>
      <c r="M109" s="126" t="n"/>
      <c r="N109" s="194" t="n"/>
      <c r="O109" s="194" t="n"/>
      <c r="P109" s="194" t="n"/>
      <c r="Q109" s="199" t="n"/>
    </row>
    <row r="110" ht="12" customHeight="1" s="1">
      <c r="A110" s="194" t="n"/>
      <c r="B110" s="194" t="n"/>
      <c r="C110" s="126" t="n"/>
      <c r="D110" s="126" t="n"/>
      <c r="E110" s="126" t="n"/>
      <c r="F110" s="126" t="n"/>
      <c r="G110" s="126" t="n"/>
      <c r="H110" s="126" t="n"/>
      <c r="I110" s="126" t="n"/>
      <c r="J110" s="126" t="n"/>
      <c r="K110" s="126" t="n"/>
      <c r="L110" s="127" t="n"/>
      <c r="M110" s="126" t="n"/>
      <c r="N110" s="194" t="n"/>
      <c r="O110" s="194" t="n"/>
      <c r="P110" s="194" t="n"/>
      <c r="Q110" s="199" t="n"/>
    </row>
    <row r="111" ht="12" customHeight="1" s="1">
      <c r="A111" s="194" t="n"/>
      <c r="B111" s="194" t="n"/>
      <c r="C111" s="126" t="n"/>
      <c r="D111" s="126" t="n"/>
      <c r="E111" s="126" t="n"/>
      <c r="F111" s="126" t="n"/>
      <c r="G111" s="126" t="n"/>
      <c r="H111" s="126" t="n"/>
      <c r="I111" s="126" t="n"/>
      <c r="J111" s="126" t="n"/>
      <c r="K111" s="126" t="n"/>
      <c r="L111" s="127" t="n"/>
      <c r="M111" s="126" t="n"/>
      <c r="N111" s="194" t="n"/>
      <c r="O111" s="194" t="n"/>
      <c r="P111" s="194" t="n"/>
      <c r="Q111" s="199" t="n"/>
    </row>
    <row r="112" ht="12" customHeight="1" s="1">
      <c r="A112" s="194" t="n"/>
      <c r="B112" s="194" t="n"/>
      <c r="C112" s="126" t="n"/>
      <c r="D112" s="126" t="n"/>
      <c r="E112" s="126" t="n"/>
      <c r="F112" s="126" t="n"/>
      <c r="G112" s="126" t="n"/>
      <c r="H112" s="126" t="n"/>
      <c r="I112" s="126" t="n"/>
      <c r="J112" s="126" t="n"/>
      <c r="K112" s="126" t="n"/>
      <c r="L112" s="127" t="n"/>
      <c r="M112" s="126" t="n"/>
      <c r="N112" s="194" t="n"/>
      <c r="O112" s="194" t="n"/>
      <c r="P112" s="194" t="n"/>
      <c r="Q112" s="199" t="n"/>
    </row>
    <row r="113" ht="12" customHeight="1" s="1">
      <c r="A113" s="194" t="n"/>
      <c r="B113" s="194" t="n"/>
      <c r="C113" s="126" t="n"/>
      <c r="D113" s="126" t="n"/>
      <c r="E113" s="126" t="n"/>
      <c r="F113" s="126" t="n"/>
      <c r="G113" s="126" t="n"/>
      <c r="H113" s="126" t="n"/>
      <c r="I113" s="126" t="n"/>
      <c r="J113" s="126" t="n"/>
      <c r="K113" s="126" t="n"/>
      <c r="L113" s="127" t="n"/>
      <c r="M113" s="126" t="n"/>
      <c r="N113" s="194" t="n"/>
      <c r="O113" s="194" t="n"/>
      <c r="P113" s="194" t="n"/>
      <c r="Q113" s="199" t="n"/>
    </row>
    <row r="114" ht="12" customHeight="1" s="1">
      <c r="A114" s="194" t="n"/>
      <c r="B114" s="194" t="n"/>
      <c r="C114" s="126" t="n"/>
      <c r="D114" s="126" t="n"/>
      <c r="E114" s="126" t="n"/>
      <c r="F114" s="126" t="n"/>
      <c r="G114" s="126" t="n"/>
      <c r="H114" s="126" t="n"/>
      <c r="I114" s="126" t="n"/>
      <c r="J114" s="126" t="n"/>
      <c r="K114" s="126" t="n"/>
      <c r="L114" s="127" t="n"/>
      <c r="M114" s="126" t="n"/>
      <c r="N114" s="194" t="n"/>
      <c r="O114" s="194" t="n"/>
      <c r="P114" s="194" t="n"/>
      <c r="Q114" s="199" t="n"/>
    </row>
    <row r="115" ht="12" customHeight="1" s="1">
      <c r="A115" s="194" t="n"/>
      <c r="B115" s="194" t="n"/>
      <c r="C115" s="126" t="n"/>
      <c r="D115" s="126" t="n"/>
      <c r="E115" s="126" t="n"/>
      <c r="F115" s="126" t="n"/>
      <c r="G115" s="126" t="n"/>
      <c r="H115" s="126" t="n"/>
      <c r="I115" s="126" t="n"/>
      <c r="J115" s="126" t="n"/>
      <c r="K115" s="126" t="n"/>
      <c r="L115" s="127" t="n"/>
      <c r="M115" s="126" t="n"/>
      <c r="N115" s="194" t="n"/>
      <c r="O115" s="194" t="n"/>
      <c r="P115" s="194" t="n"/>
      <c r="Q115" s="199" t="n"/>
    </row>
    <row r="116" ht="12" customHeight="1" s="1">
      <c r="A116" s="194" t="n"/>
      <c r="B116" s="194" t="n"/>
      <c r="C116" s="126" t="n"/>
      <c r="D116" s="126" t="n"/>
      <c r="E116" s="126" t="n"/>
      <c r="F116" s="126" t="n"/>
      <c r="G116" s="126" t="n"/>
      <c r="H116" s="126" t="n"/>
      <c r="I116" s="126" t="n"/>
      <c r="J116" s="126" t="n"/>
      <c r="K116" s="126" t="n"/>
      <c r="L116" s="127" t="n"/>
      <c r="M116" s="126" t="n"/>
      <c r="N116" s="194" t="n"/>
      <c r="O116" s="194" t="n"/>
      <c r="P116" s="194" t="n"/>
      <c r="Q116" s="199" t="n"/>
    </row>
    <row r="117" ht="12" customHeight="1" s="1">
      <c r="A117" s="194" t="n"/>
      <c r="B117" s="194" t="n"/>
      <c r="C117" s="126" t="n"/>
      <c r="D117" s="126" t="n"/>
      <c r="E117" s="126" t="n"/>
      <c r="F117" s="126" t="n"/>
      <c r="G117" s="126" t="n"/>
      <c r="H117" s="126" t="n"/>
      <c r="I117" s="126" t="n"/>
      <c r="J117" s="126" t="n"/>
      <c r="K117" s="126" t="n"/>
      <c r="L117" s="127" t="n"/>
      <c r="M117" s="126" t="n"/>
      <c r="N117" s="194" t="n"/>
      <c r="O117" s="194" t="n"/>
      <c r="P117" s="194" t="n"/>
      <c r="Q117" s="199" t="n"/>
    </row>
    <row r="118" ht="12" customHeight="1" s="1">
      <c r="A118" s="194" t="n"/>
      <c r="B118" s="194" t="n"/>
      <c r="C118" s="126" t="n"/>
      <c r="D118" s="126" t="n"/>
      <c r="E118" s="126" t="n"/>
      <c r="F118" s="126" t="n"/>
      <c r="G118" s="126" t="n"/>
      <c r="H118" s="126" t="n"/>
      <c r="I118" s="126" t="n"/>
      <c r="J118" s="126" t="n"/>
      <c r="K118" s="126" t="n"/>
      <c r="L118" s="127" t="n"/>
      <c r="M118" s="126" t="n"/>
      <c r="N118" s="194" t="n"/>
      <c r="O118" s="194" t="n"/>
      <c r="P118" s="194" t="n"/>
      <c r="Q118" s="199" t="n"/>
    </row>
    <row r="119" ht="12" customHeight="1" s="1">
      <c r="A119" s="194" t="n"/>
      <c r="B119" s="194" t="n"/>
      <c r="C119" s="126" t="n"/>
      <c r="D119" s="126" t="n"/>
      <c r="E119" s="126" t="n"/>
      <c r="F119" s="126" t="n"/>
      <c r="G119" s="126" t="n"/>
      <c r="H119" s="126" t="n"/>
      <c r="I119" s="126" t="n"/>
      <c r="J119" s="126" t="n"/>
      <c r="K119" s="126" t="n"/>
      <c r="L119" s="127" t="n"/>
      <c r="M119" s="126" t="n"/>
      <c r="N119" s="194" t="n"/>
      <c r="O119" s="194" t="n"/>
      <c r="P119" s="194" t="n"/>
      <c r="Q119" s="199" t="n"/>
    </row>
    <row r="120" ht="12" customHeight="1" s="1">
      <c r="A120" s="194" t="n"/>
      <c r="B120" s="194" t="n"/>
      <c r="C120" s="126" t="n"/>
      <c r="D120" s="126" t="n"/>
      <c r="E120" s="126" t="n"/>
      <c r="F120" s="126" t="n"/>
      <c r="G120" s="126" t="n"/>
      <c r="H120" s="126" t="n"/>
      <c r="I120" s="126" t="n"/>
      <c r="J120" s="126" t="n"/>
      <c r="K120" s="126" t="n"/>
      <c r="L120" s="127" t="n"/>
      <c r="M120" s="126" t="n"/>
      <c r="N120" s="194" t="n"/>
      <c r="O120" s="194" t="n"/>
      <c r="P120" s="194" t="n"/>
      <c r="Q120" s="199" t="n"/>
    </row>
    <row r="121" ht="12" customHeight="1" s="1">
      <c r="A121" s="194" t="n"/>
      <c r="B121" s="194" t="n"/>
      <c r="C121" s="126" t="n"/>
      <c r="D121" s="126" t="n"/>
      <c r="E121" s="126" t="n"/>
      <c r="F121" s="126" t="n"/>
      <c r="G121" s="126" t="n"/>
      <c r="H121" s="126" t="n"/>
      <c r="I121" s="126" t="n"/>
      <c r="J121" s="126" t="n"/>
      <c r="K121" s="126" t="n"/>
      <c r="L121" s="127" t="n"/>
      <c r="M121" s="126" t="n"/>
      <c r="N121" s="194" t="n"/>
      <c r="O121" s="194" t="n"/>
      <c r="P121" s="194" t="n"/>
      <c r="Q121" s="199" t="n"/>
    </row>
    <row r="122" ht="12" customHeight="1" s="1">
      <c r="A122" s="194" t="n"/>
      <c r="B122" s="194" t="n"/>
      <c r="C122" s="126" t="n"/>
      <c r="D122" s="126" t="n"/>
      <c r="E122" s="126" t="n"/>
      <c r="F122" s="126" t="n"/>
      <c r="G122" s="126" t="n"/>
      <c r="H122" s="126" t="n"/>
      <c r="I122" s="126" t="n"/>
      <c r="J122" s="126" t="n"/>
      <c r="K122" s="126" t="n"/>
      <c r="L122" s="127" t="n"/>
      <c r="M122" s="126" t="n"/>
      <c r="N122" s="194" t="n"/>
      <c r="O122" s="194" t="n"/>
      <c r="P122" s="194" t="n"/>
      <c r="Q122" s="199" t="n"/>
    </row>
    <row r="123" ht="12" customHeight="1" s="1">
      <c r="A123" s="194" t="n"/>
      <c r="B123" s="194" t="n"/>
      <c r="C123" s="126" t="n"/>
      <c r="D123" s="126" t="n"/>
      <c r="E123" s="126" t="n"/>
      <c r="F123" s="126" t="n"/>
      <c r="G123" s="126" t="n"/>
      <c r="H123" s="126" t="n"/>
      <c r="I123" s="126" t="n"/>
      <c r="J123" s="126" t="n"/>
      <c r="K123" s="126" t="n"/>
      <c r="L123" s="127" t="n"/>
      <c r="M123" s="126" t="n"/>
      <c r="N123" s="194" t="n"/>
      <c r="O123" s="194" t="n"/>
      <c r="P123" s="194" t="n"/>
      <c r="Q123" s="199" t="n"/>
    </row>
    <row r="124" ht="12" customHeight="1" s="1">
      <c r="A124" s="194" t="n"/>
      <c r="B124" s="194" t="n"/>
      <c r="C124" s="126" t="n"/>
      <c r="D124" s="126" t="n"/>
      <c r="E124" s="126" t="n"/>
      <c r="F124" s="126" t="n"/>
      <c r="G124" s="126" t="n"/>
      <c r="H124" s="126" t="n"/>
      <c r="I124" s="126" t="n"/>
      <c r="J124" s="126" t="n"/>
      <c r="K124" s="126" t="n"/>
      <c r="L124" s="127" t="n"/>
      <c r="M124" s="126" t="n"/>
      <c r="N124" s="194" t="n"/>
      <c r="O124" s="194" t="n"/>
      <c r="P124" s="194" t="n"/>
      <c r="Q124" s="199" t="n"/>
    </row>
    <row r="125" ht="12" customHeight="1" s="1">
      <c r="A125" s="194" t="n"/>
      <c r="B125" s="194" t="n"/>
      <c r="C125" s="126" t="n"/>
      <c r="D125" s="126" t="n"/>
      <c r="E125" s="126" t="n"/>
      <c r="F125" s="126" t="n"/>
      <c r="G125" s="126" t="n"/>
      <c r="H125" s="126" t="n"/>
      <c r="I125" s="126" t="n"/>
      <c r="J125" s="126" t="n"/>
      <c r="K125" s="126" t="n"/>
      <c r="L125" s="127" t="n"/>
      <c r="M125" s="126" t="n"/>
      <c r="N125" s="194" t="n"/>
      <c r="O125" s="194" t="n"/>
      <c r="P125" s="194" t="n"/>
      <c r="Q125" s="199" t="n"/>
    </row>
    <row r="126" ht="12" customHeight="1" s="1">
      <c r="A126" s="194" t="n"/>
      <c r="B126" s="194" t="n"/>
      <c r="C126" s="126" t="n"/>
      <c r="D126" s="126" t="n"/>
      <c r="E126" s="126" t="n"/>
      <c r="F126" s="126" t="n"/>
      <c r="G126" s="126" t="n"/>
      <c r="H126" s="126" t="n"/>
      <c r="I126" s="126" t="n"/>
      <c r="J126" s="126" t="n"/>
      <c r="K126" s="126" t="n"/>
      <c r="L126" s="127" t="n"/>
      <c r="M126" s="126" t="n"/>
      <c r="N126" s="194" t="n"/>
      <c r="O126" s="194" t="n"/>
      <c r="P126" s="194" t="n"/>
      <c r="Q126" s="199" t="n"/>
    </row>
    <row r="127" ht="12" customHeight="1" s="1">
      <c r="A127" s="194" t="n"/>
      <c r="B127" s="194" t="n"/>
      <c r="C127" s="126" t="n"/>
      <c r="D127" s="126" t="n"/>
      <c r="E127" s="126" t="n"/>
      <c r="F127" s="126" t="n"/>
      <c r="G127" s="126" t="n"/>
      <c r="H127" s="126" t="n"/>
      <c r="I127" s="126" t="n"/>
      <c r="J127" s="126" t="n"/>
      <c r="K127" s="126" t="n"/>
      <c r="L127" s="127" t="n"/>
      <c r="M127" s="126" t="n"/>
      <c r="N127" s="194" t="n"/>
      <c r="O127" s="194" t="n"/>
      <c r="P127" s="194" t="n"/>
      <c r="Q127" s="199" t="n"/>
    </row>
    <row r="128" ht="12" customHeight="1" s="1">
      <c r="A128" s="194" t="n"/>
      <c r="B128" s="194" t="n"/>
      <c r="C128" s="126" t="n"/>
      <c r="D128" s="126" t="n"/>
      <c r="E128" s="126" t="n"/>
      <c r="F128" s="126" t="n"/>
      <c r="G128" s="126" t="n"/>
      <c r="H128" s="126" t="n"/>
      <c r="I128" s="126" t="n"/>
      <c r="J128" s="126" t="n"/>
      <c r="K128" s="126" t="n"/>
      <c r="L128" s="127" t="n"/>
      <c r="M128" s="126" t="n"/>
      <c r="N128" s="194" t="n"/>
      <c r="O128" s="194" t="n"/>
      <c r="P128" s="194" t="n"/>
      <c r="Q128" s="199" t="n"/>
    </row>
    <row r="129" ht="12" customHeight="1" s="1">
      <c r="A129" s="194" t="n"/>
      <c r="B129" s="194" t="n"/>
      <c r="C129" s="126" t="n"/>
      <c r="D129" s="126" t="n"/>
      <c r="E129" s="126" t="n"/>
      <c r="F129" s="126" t="n"/>
      <c r="G129" s="126" t="n"/>
      <c r="H129" s="126" t="n"/>
      <c r="I129" s="126" t="n"/>
      <c r="J129" s="126" t="n"/>
      <c r="K129" s="126" t="n"/>
      <c r="L129" s="127" t="n"/>
      <c r="M129" s="126" t="n"/>
      <c r="N129" s="194" t="n"/>
      <c r="O129" s="194" t="n"/>
      <c r="P129" s="194" t="n"/>
      <c r="Q129" s="199" t="n"/>
    </row>
    <row r="130" ht="12" customHeight="1" s="1">
      <c r="A130" s="194" t="n"/>
      <c r="B130" s="194" t="n"/>
      <c r="C130" s="126" t="n"/>
      <c r="D130" s="126" t="n"/>
      <c r="E130" s="126" t="n"/>
      <c r="F130" s="126" t="n"/>
      <c r="G130" s="126" t="n"/>
      <c r="H130" s="126" t="n"/>
      <c r="I130" s="126" t="n"/>
      <c r="J130" s="126" t="n"/>
      <c r="K130" s="126" t="n"/>
      <c r="L130" s="127" t="n"/>
      <c r="M130" s="126" t="n"/>
      <c r="N130" s="194" t="n"/>
      <c r="O130" s="194" t="n"/>
      <c r="P130" s="194" t="n"/>
      <c r="Q130" s="199" t="n"/>
    </row>
    <row r="131" ht="12" customHeight="1" s="1">
      <c r="A131" s="194" t="n"/>
      <c r="B131" s="194" t="n"/>
      <c r="C131" s="126" t="n"/>
      <c r="D131" s="126" t="n"/>
      <c r="E131" s="126" t="n"/>
      <c r="F131" s="126" t="n"/>
      <c r="G131" s="126" t="n"/>
      <c r="H131" s="126" t="n"/>
      <c r="I131" s="126" t="n"/>
      <c r="J131" s="126" t="n"/>
      <c r="K131" s="126" t="n"/>
      <c r="L131" s="127" t="n"/>
      <c r="M131" s="126" t="n"/>
      <c r="N131" s="194" t="n"/>
      <c r="O131" s="194" t="n"/>
      <c r="P131" s="194" t="n"/>
      <c r="Q131" s="199" t="n"/>
    </row>
    <row r="132" ht="12" customHeight="1" s="1">
      <c r="A132" s="194" t="n"/>
      <c r="B132" s="194" t="n"/>
      <c r="C132" s="126" t="n"/>
      <c r="D132" s="126" t="n"/>
      <c r="E132" s="126" t="n"/>
      <c r="F132" s="126" t="n"/>
      <c r="G132" s="126" t="n"/>
      <c r="H132" s="126" t="n"/>
      <c r="I132" s="126" t="n"/>
      <c r="J132" s="126" t="n"/>
      <c r="K132" s="126" t="n"/>
      <c r="L132" s="127" t="n"/>
      <c r="M132" s="126" t="n"/>
      <c r="N132" s="194" t="n"/>
      <c r="O132" s="194" t="n"/>
      <c r="P132" s="194" t="n"/>
      <c r="Q132" s="199" t="n"/>
    </row>
    <row r="133" ht="12" customHeight="1" s="1">
      <c r="A133" s="194" t="n"/>
      <c r="B133" s="194" t="n"/>
      <c r="C133" s="126" t="n"/>
      <c r="D133" s="126" t="n"/>
      <c r="E133" s="126" t="n"/>
      <c r="F133" s="126" t="n"/>
      <c r="G133" s="126" t="n"/>
      <c r="H133" s="126" t="n"/>
      <c r="I133" s="126" t="n"/>
      <c r="J133" s="126" t="n"/>
      <c r="K133" s="126" t="n"/>
      <c r="L133" s="127" t="n"/>
      <c r="M133" s="126" t="n"/>
      <c r="N133" s="194" t="n"/>
      <c r="O133" s="194" t="n"/>
      <c r="P133" s="194" t="n"/>
      <c r="Q133" s="199" t="n"/>
    </row>
    <row r="134" ht="12" customHeight="1" s="1">
      <c r="A134" s="194" t="n"/>
      <c r="B134" s="194" t="n"/>
      <c r="C134" s="126" t="n"/>
      <c r="D134" s="126" t="n"/>
      <c r="E134" s="126" t="n"/>
      <c r="F134" s="126" t="n"/>
      <c r="G134" s="126" t="n"/>
      <c r="H134" s="126" t="n"/>
      <c r="I134" s="126" t="n"/>
      <c r="J134" s="126" t="n"/>
      <c r="K134" s="126" t="n"/>
      <c r="L134" s="127" t="n"/>
      <c r="M134" s="126" t="n"/>
      <c r="N134" s="194" t="n"/>
      <c r="O134" s="194" t="n"/>
      <c r="P134" s="194" t="n"/>
      <c r="Q134" s="199" t="n"/>
    </row>
    <row r="135" ht="12" customHeight="1" s="1">
      <c r="A135" s="194" t="n"/>
      <c r="B135" s="194" t="n"/>
      <c r="C135" s="126" t="n"/>
      <c r="D135" s="126" t="n"/>
      <c r="E135" s="126" t="n"/>
      <c r="F135" s="126" t="n"/>
      <c r="G135" s="126" t="n"/>
      <c r="H135" s="126" t="n"/>
      <c r="I135" s="126" t="n"/>
      <c r="J135" s="126" t="n"/>
      <c r="K135" s="126" t="n"/>
      <c r="L135" s="127" t="n"/>
      <c r="M135" s="126" t="n"/>
      <c r="N135" s="194" t="n"/>
      <c r="O135" s="194" t="n"/>
      <c r="P135" s="194" t="n"/>
      <c r="Q135" s="199" t="n"/>
    </row>
    <row r="136" ht="12" customHeight="1" s="1">
      <c r="A136" s="194" t="n"/>
      <c r="B136" s="194" t="n"/>
      <c r="C136" s="126" t="n"/>
      <c r="D136" s="126" t="n"/>
      <c r="E136" s="126" t="n"/>
      <c r="F136" s="126" t="n"/>
      <c r="G136" s="126" t="n"/>
      <c r="H136" s="126" t="n"/>
      <c r="I136" s="126" t="n"/>
      <c r="J136" s="126" t="n"/>
      <c r="K136" s="126" t="n"/>
      <c r="L136" s="127" t="n"/>
      <c r="M136" s="126" t="n"/>
      <c r="N136" s="194" t="n"/>
      <c r="O136" s="194" t="n"/>
      <c r="P136" s="194" t="n"/>
      <c r="Q136" s="199" t="n"/>
    </row>
    <row r="137" ht="12" customHeight="1" s="1">
      <c r="A137" s="194" t="n"/>
      <c r="B137" s="194" t="n"/>
      <c r="C137" s="126" t="n"/>
      <c r="D137" s="126" t="n"/>
      <c r="E137" s="126" t="n"/>
      <c r="F137" s="126" t="n"/>
      <c r="G137" s="126" t="n"/>
      <c r="H137" s="126" t="n"/>
      <c r="I137" s="126" t="n"/>
      <c r="J137" s="126" t="n"/>
      <c r="K137" s="126" t="n"/>
      <c r="L137" s="127" t="n"/>
      <c r="M137" s="126" t="n"/>
      <c r="N137" s="194" t="n"/>
      <c r="O137" s="194" t="n"/>
      <c r="P137" s="194" t="n"/>
      <c r="Q137" s="199" t="n"/>
    </row>
    <row r="138" ht="12" customHeight="1" s="1">
      <c r="A138" s="194" t="n"/>
      <c r="B138" s="194" t="n"/>
      <c r="C138" s="126" t="n"/>
      <c r="D138" s="126" t="n"/>
      <c r="E138" s="126" t="n"/>
      <c r="F138" s="126" t="n"/>
      <c r="G138" s="126" t="n"/>
      <c r="H138" s="126" t="n"/>
      <c r="I138" s="126" t="n"/>
      <c r="J138" s="126" t="n"/>
      <c r="K138" s="126" t="n"/>
      <c r="L138" s="127" t="n"/>
      <c r="M138" s="126" t="n"/>
      <c r="N138" s="194" t="n"/>
      <c r="O138" s="194" t="n"/>
      <c r="P138" s="194" t="n"/>
      <c r="Q138" s="199" t="n"/>
    </row>
    <row r="139" ht="12" customHeight="1" s="1">
      <c r="A139" s="194" t="n"/>
      <c r="B139" s="194" t="n"/>
      <c r="C139" s="126" t="n"/>
      <c r="D139" s="126" t="n"/>
      <c r="E139" s="126" t="n"/>
      <c r="F139" s="126" t="n"/>
      <c r="G139" s="126" t="n"/>
      <c r="H139" s="126" t="n"/>
      <c r="I139" s="126" t="n"/>
      <c r="J139" s="126" t="n"/>
      <c r="K139" s="126" t="n"/>
      <c r="L139" s="127" t="n"/>
      <c r="M139" s="126" t="n"/>
      <c r="N139" s="194" t="n"/>
      <c r="O139" s="194" t="n"/>
      <c r="P139" s="194" t="n"/>
      <c r="Q139" s="199" t="n"/>
    </row>
    <row r="140" ht="12" customHeight="1" s="1">
      <c r="A140" s="194" t="n"/>
      <c r="B140" s="194" t="n"/>
      <c r="C140" s="126" t="n"/>
      <c r="D140" s="126" t="n"/>
      <c r="E140" s="126" t="n"/>
      <c r="F140" s="126" t="n"/>
      <c r="G140" s="126" t="n"/>
      <c r="H140" s="126" t="n"/>
      <c r="I140" s="126" t="n"/>
      <c r="J140" s="126" t="n"/>
      <c r="K140" s="126" t="n"/>
      <c r="L140" s="127" t="n"/>
      <c r="M140" s="126" t="n"/>
      <c r="N140" s="194" t="n"/>
      <c r="O140" s="194" t="n"/>
      <c r="P140" s="194" t="n"/>
      <c r="Q140" s="199" t="n"/>
    </row>
    <row r="141" ht="12" customHeight="1" s="1">
      <c r="A141" s="194" t="n"/>
      <c r="B141" s="194" t="n"/>
      <c r="C141" s="126" t="n"/>
      <c r="D141" s="126" t="n"/>
      <c r="E141" s="126" t="n"/>
      <c r="F141" s="126" t="n"/>
      <c r="G141" s="126" t="n"/>
      <c r="H141" s="126" t="n"/>
      <c r="I141" s="126" t="n"/>
      <c r="J141" s="126" t="n"/>
      <c r="K141" s="126" t="n"/>
      <c r="L141" s="127" t="n"/>
      <c r="M141" s="126" t="n"/>
      <c r="N141" s="194" t="n"/>
      <c r="O141" s="194" t="n"/>
      <c r="P141" s="194" t="n"/>
      <c r="Q141" s="199" t="n"/>
    </row>
    <row r="142" ht="12" customHeight="1" s="1">
      <c r="A142" s="194" t="n"/>
      <c r="B142" s="194" t="n"/>
      <c r="C142" s="126" t="n"/>
      <c r="D142" s="126" t="n"/>
      <c r="E142" s="126" t="n"/>
      <c r="F142" s="126" t="n"/>
      <c r="G142" s="126" t="n"/>
      <c r="H142" s="126" t="n"/>
      <c r="I142" s="126" t="n"/>
      <c r="J142" s="126" t="n"/>
      <c r="K142" s="126" t="n"/>
      <c r="L142" s="127" t="n"/>
      <c r="M142" s="126" t="n"/>
      <c r="N142" s="194" t="n"/>
      <c r="O142" s="194" t="n"/>
      <c r="P142" s="194" t="n"/>
      <c r="Q142" s="199" t="n"/>
    </row>
    <row r="143" ht="12" customHeight="1" s="1">
      <c r="A143" s="194" t="n"/>
      <c r="B143" s="194" t="n"/>
      <c r="C143" s="126" t="n"/>
      <c r="D143" s="126" t="n"/>
      <c r="E143" s="126" t="n"/>
      <c r="F143" s="126" t="n"/>
      <c r="G143" s="126" t="n"/>
      <c r="H143" s="126" t="n"/>
      <c r="I143" s="126" t="n"/>
      <c r="J143" s="126" t="n"/>
      <c r="K143" s="126" t="n"/>
      <c r="L143" s="127" t="n"/>
      <c r="M143" s="126" t="n"/>
      <c r="N143" s="194" t="n"/>
      <c r="O143" s="194" t="n"/>
      <c r="P143" s="194" t="n"/>
      <c r="Q143" s="199" t="n"/>
    </row>
    <row r="144" ht="12" customHeight="1" s="1">
      <c r="A144" s="194" t="n"/>
      <c r="B144" s="194" t="n"/>
      <c r="C144" s="126" t="n"/>
      <c r="D144" s="126" t="n"/>
      <c r="E144" s="126" t="n"/>
      <c r="F144" s="126" t="n"/>
      <c r="G144" s="126" t="n"/>
      <c r="H144" s="126" t="n"/>
      <c r="I144" s="126" t="n"/>
      <c r="J144" s="126" t="n"/>
      <c r="K144" s="126" t="n"/>
      <c r="L144" s="127" t="n"/>
      <c r="M144" s="126" t="n"/>
      <c r="N144" s="194" t="n"/>
      <c r="O144" s="194" t="n"/>
      <c r="P144" s="194" t="n"/>
      <c r="Q144" s="199" t="n"/>
    </row>
    <row r="145" ht="12" customHeight="1" s="1">
      <c r="A145" s="194" t="n"/>
      <c r="B145" s="194" t="n"/>
      <c r="C145" s="126" t="n"/>
      <c r="D145" s="126" t="n"/>
      <c r="E145" s="126" t="n"/>
      <c r="F145" s="126" t="n"/>
      <c r="G145" s="126" t="n"/>
      <c r="H145" s="126" t="n"/>
      <c r="I145" s="126" t="n"/>
      <c r="J145" s="126" t="n"/>
      <c r="K145" s="126" t="n"/>
      <c r="L145" s="127" t="n"/>
      <c r="M145" s="126" t="n"/>
      <c r="N145" s="194" t="n"/>
      <c r="O145" s="194" t="n"/>
      <c r="P145" s="194" t="n"/>
      <c r="Q145" s="199" t="n"/>
    </row>
    <row r="146" ht="12" customHeight="1" s="1">
      <c r="A146" s="194" t="n"/>
      <c r="B146" s="194" t="n"/>
      <c r="C146" s="126" t="n"/>
      <c r="D146" s="126" t="n"/>
      <c r="E146" s="126" t="n"/>
      <c r="F146" s="126" t="n"/>
      <c r="G146" s="126" t="n"/>
      <c r="H146" s="126" t="n"/>
      <c r="I146" s="126" t="n"/>
      <c r="J146" s="126" t="n"/>
      <c r="K146" s="126" t="n"/>
      <c r="L146" s="127" t="n"/>
      <c r="M146" s="126" t="n"/>
      <c r="N146" s="194" t="n"/>
      <c r="O146" s="194" t="n"/>
      <c r="P146" s="194" t="n"/>
      <c r="Q146" s="199" t="n"/>
    </row>
    <row r="147" ht="12" customHeight="1" s="1">
      <c r="A147" s="194" t="n"/>
      <c r="B147" s="194" t="n"/>
      <c r="C147" s="126" t="n"/>
      <c r="D147" s="126" t="n"/>
      <c r="E147" s="126" t="n"/>
      <c r="F147" s="126" t="n"/>
      <c r="G147" s="126" t="n"/>
      <c r="H147" s="126" t="n"/>
      <c r="I147" s="126" t="n"/>
      <c r="J147" s="126" t="n"/>
      <c r="K147" s="126" t="n"/>
      <c r="L147" s="127" t="n"/>
      <c r="M147" s="126" t="n"/>
      <c r="N147" s="194" t="n"/>
      <c r="O147" s="194" t="n"/>
      <c r="P147" s="194" t="n"/>
      <c r="Q147" s="199" t="n"/>
    </row>
    <row r="148" ht="12" customHeight="1" s="1">
      <c r="A148" s="194" t="n"/>
      <c r="B148" s="194" t="n"/>
      <c r="C148" s="126" t="n"/>
      <c r="D148" s="126" t="n"/>
      <c r="E148" s="126" t="n"/>
      <c r="F148" s="126" t="n"/>
      <c r="G148" s="126" t="n"/>
      <c r="H148" s="126" t="n"/>
      <c r="I148" s="126" t="n"/>
      <c r="J148" s="126" t="n"/>
      <c r="K148" s="126" t="n"/>
      <c r="L148" s="127" t="n"/>
      <c r="M148" s="126" t="n"/>
      <c r="N148" s="194" t="n"/>
      <c r="O148" s="194" t="n"/>
      <c r="P148" s="194" t="n"/>
      <c r="Q148" s="199" t="n"/>
    </row>
    <row r="149" ht="12" customHeight="1" s="1">
      <c r="A149" s="194" t="n"/>
      <c r="B149" s="194" t="n"/>
      <c r="C149" s="126" t="n"/>
      <c r="D149" s="126" t="n"/>
      <c r="E149" s="126" t="n"/>
      <c r="F149" s="126" t="n"/>
      <c r="G149" s="126" t="n"/>
      <c r="H149" s="126" t="n"/>
      <c r="I149" s="126" t="n"/>
      <c r="J149" s="126" t="n"/>
      <c r="K149" s="126" t="n"/>
      <c r="L149" s="127" t="n"/>
      <c r="M149" s="126" t="n"/>
      <c r="N149" s="194" t="n"/>
      <c r="O149" s="194" t="n"/>
      <c r="P149" s="194" t="n"/>
      <c r="Q149" s="199" t="n"/>
    </row>
    <row r="150" ht="12" customHeight="1" s="1">
      <c r="A150" s="194" t="n"/>
      <c r="B150" s="194" t="n"/>
      <c r="C150" s="126" t="n"/>
      <c r="D150" s="126" t="n"/>
      <c r="E150" s="126" t="n"/>
      <c r="F150" s="126" t="n"/>
      <c r="G150" s="126" t="n"/>
      <c r="H150" s="126" t="n"/>
      <c r="I150" s="126" t="n"/>
      <c r="J150" s="126" t="n"/>
      <c r="K150" s="126" t="n"/>
      <c r="L150" s="127" t="n"/>
      <c r="M150" s="126" t="n"/>
      <c r="N150" s="194" t="n"/>
      <c r="O150" s="194" t="n"/>
      <c r="P150" s="194" t="n"/>
      <c r="Q150" s="199" t="n"/>
    </row>
    <row r="151" ht="12" customHeight="1" s="1">
      <c r="A151" s="194" t="n"/>
      <c r="B151" s="194" t="n"/>
      <c r="C151" s="126" t="n"/>
      <c r="D151" s="126" t="n"/>
      <c r="E151" s="126" t="n"/>
      <c r="F151" s="126" t="n"/>
      <c r="G151" s="126" t="n"/>
      <c r="H151" s="126" t="n"/>
      <c r="I151" s="126" t="n"/>
      <c r="J151" s="126" t="n"/>
      <c r="K151" s="126" t="n"/>
      <c r="L151" s="127" t="n"/>
      <c r="M151" s="126" t="n"/>
      <c r="N151" s="194" t="n"/>
      <c r="O151" s="194" t="n"/>
      <c r="P151" s="194" t="n"/>
      <c r="Q151" s="199" t="n"/>
    </row>
    <row r="152" ht="12" customHeight="1" s="1">
      <c r="A152" s="194" t="n"/>
      <c r="B152" s="194" t="n"/>
      <c r="C152" s="126" t="n"/>
      <c r="D152" s="126" t="n"/>
      <c r="E152" s="126" t="n"/>
      <c r="F152" s="126" t="n"/>
      <c r="G152" s="126" t="n"/>
      <c r="H152" s="126" t="n"/>
      <c r="I152" s="126" t="n"/>
      <c r="J152" s="126" t="n"/>
      <c r="K152" s="126" t="n"/>
      <c r="L152" s="127" t="n"/>
      <c r="M152" s="126" t="n"/>
      <c r="N152" s="194" t="n"/>
      <c r="O152" s="194" t="n"/>
      <c r="P152" s="194" t="n"/>
      <c r="Q152" s="199" t="n"/>
    </row>
    <row r="153" ht="12" customHeight="1" s="1">
      <c r="A153" s="194" t="n"/>
      <c r="B153" s="194" t="n"/>
      <c r="C153" s="126" t="n"/>
      <c r="D153" s="126" t="n"/>
      <c r="E153" s="126" t="n"/>
      <c r="F153" s="126" t="n"/>
      <c r="G153" s="126" t="n"/>
      <c r="H153" s="126" t="n"/>
      <c r="I153" s="126" t="n"/>
      <c r="J153" s="126" t="n"/>
      <c r="K153" s="126" t="n"/>
      <c r="L153" s="127" t="n"/>
      <c r="M153" s="126" t="n"/>
      <c r="N153" s="194" t="n"/>
      <c r="O153" s="194" t="n"/>
      <c r="P153" s="194" t="n"/>
      <c r="Q153" s="199" t="n"/>
    </row>
    <row r="154" ht="12" customHeight="1" s="1">
      <c r="A154" s="194" t="n"/>
      <c r="B154" s="194" t="n"/>
      <c r="C154" s="126" t="n"/>
      <c r="D154" s="126" t="n"/>
      <c r="E154" s="126" t="n"/>
      <c r="F154" s="126" t="n"/>
      <c r="G154" s="126" t="n"/>
      <c r="H154" s="126" t="n"/>
      <c r="I154" s="126" t="n"/>
      <c r="J154" s="126" t="n"/>
      <c r="K154" s="126" t="n"/>
      <c r="L154" s="127" t="n"/>
      <c r="M154" s="126" t="n"/>
      <c r="N154" s="194" t="n"/>
      <c r="O154" s="194" t="n"/>
      <c r="P154" s="194" t="n"/>
      <c r="Q154" s="199" t="n"/>
    </row>
    <row r="155" ht="12" customHeight="1" s="1">
      <c r="A155" s="194" t="n"/>
      <c r="B155" s="194" t="n"/>
      <c r="C155" s="126" t="n"/>
      <c r="D155" s="126" t="n"/>
      <c r="E155" s="126" t="n"/>
      <c r="F155" s="126" t="n"/>
      <c r="G155" s="126" t="n"/>
      <c r="H155" s="126" t="n"/>
      <c r="I155" s="126" t="n"/>
      <c r="J155" s="126" t="n"/>
      <c r="K155" s="126" t="n"/>
      <c r="L155" s="127" t="n"/>
      <c r="M155" s="126" t="n"/>
      <c r="N155" s="194" t="n"/>
      <c r="O155" s="194" t="n"/>
      <c r="P155" s="194" t="n"/>
      <c r="Q155" s="199" t="n"/>
    </row>
    <row r="156" ht="12" customHeight="1" s="1">
      <c r="A156" s="194" t="n"/>
      <c r="B156" s="194" t="n"/>
      <c r="C156" s="126" t="n"/>
      <c r="D156" s="126" t="n"/>
      <c r="E156" s="126" t="n"/>
      <c r="F156" s="126" t="n"/>
      <c r="G156" s="126" t="n"/>
      <c r="H156" s="126" t="n"/>
      <c r="I156" s="126" t="n"/>
      <c r="J156" s="126" t="n"/>
      <c r="K156" s="126" t="n"/>
      <c r="L156" s="127" t="n"/>
      <c r="M156" s="126" t="n"/>
      <c r="N156" s="194" t="n"/>
      <c r="O156" s="194" t="n"/>
      <c r="P156" s="194" t="n"/>
      <c r="Q156" s="199" t="n"/>
    </row>
    <row r="157" ht="12" customHeight="1" s="1">
      <c r="A157" s="194" t="n"/>
      <c r="B157" s="194" t="n"/>
      <c r="C157" s="126" t="n"/>
      <c r="D157" s="126" t="n"/>
      <c r="E157" s="126" t="n"/>
      <c r="F157" s="126" t="n"/>
      <c r="G157" s="126" t="n"/>
      <c r="H157" s="126" t="n"/>
      <c r="I157" s="126" t="n"/>
      <c r="J157" s="126" t="n"/>
      <c r="K157" s="126" t="n"/>
      <c r="L157" s="127" t="n"/>
      <c r="M157" s="126" t="n"/>
      <c r="N157" s="194" t="n"/>
      <c r="O157" s="194" t="n"/>
      <c r="P157" s="194" t="n"/>
      <c r="Q157" s="199" t="n"/>
    </row>
    <row r="158" ht="12" customHeight="1" s="1">
      <c r="A158" s="194" t="n"/>
      <c r="B158" s="194" t="n"/>
      <c r="C158" s="126" t="n"/>
      <c r="D158" s="126" t="n"/>
      <c r="E158" s="126" t="n"/>
      <c r="F158" s="126" t="n"/>
      <c r="G158" s="126" t="n"/>
      <c r="H158" s="126" t="n"/>
      <c r="I158" s="126" t="n"/>
      <c r="J158" s="126" t="n"/>
      <c r="K158" s="126" t="n"/>
      <c r="L158" s="127" t="n"/>
      <c r="M158" s="126" t="n"/>
      <c r="N158" s="194" t="n"/>
      <c r="O158" s="194" t="n"/>
      <c r="P158" s="194" t="n"/>
      <c r="Q158" s="199" t="n"/>
    </row>
    <row r="159" ht="12" customHeight="1" s="1">
      <c r="A159" s="194" t="n"/>
      <c r="B159" s="194" t="n"/>
      <c r="C159" s="126" t="n"/>
      <c r="D159" s="126" t="n"/>
      <c r="E159" s="126" t="n"/>
      <c r="F159" s="126" t="n"/>
      <c r="G159" s="126" t="n"/>
      <c r="H159" s="126" t="n"/>
      <c r="I159" s="126" t="n"/>
      <c r="J159" s="126" t="n"/>
      <c r="K159" s="126" t="n"/>
      <c r="L159" s="127" t="n"/>
      <c r="M159" s="126" t="n"/>
      <c r="N159" s="194" t="n"/>
      <c r="O159" s="194" t="n"/>
      <c r="P159" s="194" t="n"/>
      <c r="Q159" s="199" t="n"/>
    </row>
    <row r="160" ht="12" customHeight="1" s="1">
      <c r="A160" s="194" t="n"/>
      <c r="B160" s="194" t="n"/>
      <c r="C160" s="126" t="n"/>
      <c r="D160" s="126" t="n"/>
      <c r="E160" s="126" t="n"/>
      <c r="F160" s="126" t="n"/>
      <c r="G160" s="126" t="n"/>
      <c r="H160" s="126" t="n"/>
      <c r="I160" s="126" t="n"/>
      <c r="J160" s="126" t="n"/>
      <c r="K160" s="126" t="n"/>
      <c r="L160" s="127" t="n"/>
      <c r="M160" s="126" t="n"/>
      <c r="N160" s="194" t="n"/>
      <c r="O160" s="194" t="n"/>
      <c r="P160" s="194" t="n"/>
      <c r="Q160" s="199" t="n"/>
    </row>
    <row r="161" ht="12" customHeight="1" s="1">
      <c r="A161" s="194" t="n"/>
      <c r="B161" s="194" t="n"/>
      <c r="C161" s="126" t="n"/>
      <c r="D161" s="126" t="n"/>
      <c r="E161" s="126" t="n"/>
      <c r="F161" s="126" t="n"/>
      <c r="G161" s="126" t="n"/>
      <c r="H161" s="126" t="n"/>
      <c r="I161" s="126" t="n"/>
      <c r="J161" s="126" t="n"/>
      <c r="K161" s="126" t="n"/>
      <c r="L161" s="127" t="n"/>
      <c r="M161" s="126" t="n"/>
      <c r="N161" s="194" t="n"/>
      <c r="O161" s="194" t="n"/>
      <c r="P161" s="194" t="n"/>
      <c r="Q161" s="199" t="n"/>
    </row>
    <row r="162" ht="12" customHeight="1" s="1">
      <c r="A162" s="194" t="n"/>
      <c r="B162" s="194" t="n"/>
      <c r="C162" s="126" t="n"/>
      <c r="D162" s="126" t="n"/>
      <c r="E162" s="126" t="n"/>
      <c r="F162" s="126" t="n"/>
      <c r="G162" s="126" t="n"/>
      <c r="H162" s="126" t="n"/>
      <c r="I162" s="126" t="n"/>
      <c r="J162" s="126" t="n"/>
      <c r="K162" s="126" t="n"/>
      <c r="L162" s="127" t="n"/>
      <c r="M162" s="126" t="n"/>
      <c r="N162" s="194" t="n"/>
      <c r="O162" s="194" t="n"/>
      <c r="P162" s="194" t="n"/>
      <c r="Q162" s="199" t="n"/>
    </row>
    <row r="163" ht="12" customHeight="1" s="1">
      <c r="A163" s="194" t="n"/>
      <c r="B163" s="194" t="n"/>
      <c r="C163" s="126" t="n"/>
      <c r="D163" s="126" t="n"/>
      <c r="E163" s="126" t="n"/>
      <c r="F163" s="126" t="n"/>
      <c r="G163" s="126" t="n"/>
      <c r="H163" s="126" t="n"/>
      <c r="I163" s="126" t="n"/>
      <c r="J163" s="126" t="n"/>
      <c r="K163" s="126" t="n"/>
      <c r="L163" s="127" t="n"/>
      <c r="M163" s="126" t="n"/>
      <c r="N163" s="194" t="n"/>
      <c r="O163" s="194" t="n"/>
      <c r="P163" s="194" t="n"/>
      <c r="Q163" s="199" t="n"/>
    </row>
    <row r="164" ht="12" customHeight="1" s="1">
      <c r="A164" s="194" t="n"/>
      <c r="B164" s="194" t="n"/>
      <c r="C164" s="126" t="n"/>
      <c r="D164" s="126" t="n"/>
      <c r="E164" s="126" t="n"/>
      <c r="F164" s="126" t="n"/>
      <c r="G164" s="126" t="n"/>
      <c r="H164" s="126" t="n"/>
      <c r="I164" s="126" t="n"/>
      <c r="J164" s="126" t="n"/>
      <c r="K164" s="126" t="n"/>
      <c r="L164" s="127" t="n"/>
      <c r="M164" s="126" t="n"/>
      <c r="N164" s="194" t="n"/>
      <c r="O164" s="194" t="n"/>
      <c r="P164" s="194" t="n"/>
      <c r="Q164" s="199" t="n"/>
    </row>
    <row r="165" ht="12" customHeight="1" s="1">
      <c r="A165" s="194" t="n"/>
      <c r="B165" s="194" t="n"/>
      <c r="C165" s="126" t="n"/>
      <c r="D165" s="126" t="n"/>
      <c r="E165" s="126" t="n"/>
      <c r="F165" s="126" t="n"/>
      <c r="G165" s="126" t="n"/>
      <c r="H165" s="126" t="n"/>
      <c r="I165" s="126" t="n"/>
      <c r="J165" s="126" t="n"/>
      <c r="K165" s="126" t="n"/>
      <c r="L165" s="127" t="n"/>
      <c r="M165" s="126" t="n"/>
      <c r="N165" s="194" t="n"/>
      <c r="O165" s="194" t="n"/>
      <c r="P165" s="194" t="n"/>
      <c r="Q165" s="199" t="n"/>
    </row>
    <row r="166" ht="12" customHeight="1" s="1">
      <c r="A166" s="194" t="n"/>
      <c r="B166" s="194" t="n"/>
      <c r="C166" s="126" t="n"/>
      <c r="D166" s="126" t="n"/>
      <c r="E166" s="126" t="n"/>
      <c r="F166" s="126" t="n"/>
      <c r="G166" s="126" t="n"/>
      <c r="H166" s="126" t="n"/>
      <c r="I166" s="126" t="n"/>
      <c r="J166" s="126" t="n"/>
      <c r="K166" s="126" t="n"/>
      <c r="L166" s="127" t="n"/>
      <c r="M166" s="126" t="n"/>
      <c r="N166" s="194" t="n"/>
      <c r="O166" s="194" t="n"/>
      <c r="P166" s="194" t="n"/>
      <c r="Q166" s="199" t="n"/>
    </row>
    <row r="167" ht="12" customHeight="1" s="1">
      <c r="A167" s="194" t="n"/>
      <c r="B167" s="194" t="n"/>
      <c r="C167" s="126" t="n"/>
      <c r="D167" s="126" t="n"/>
      <c r="E167" s="126" t="n"/>
      <c r="F167" s="126" t="n"/>
      <c r="G167" s="126" t="n"/>
      <c r="H167" s="126" t="n"/>
      <c r="I167" s="126" t="n"/>
      <c r="J167" s="126" t="n"/>
      <c r="K167" s="126" t="n"/>
      <c r="L167" s="127" t="n"/>
      <c r="M167" s="126" t="n"/>
      <c r="N167" s="194" t="n"/>
      <c r="O167" s="194" t="n"/>
      <c r="P167" s="194" t="n"/>
      <c r="Q167" s="199" t="n"/>
    </row>
    <row r="168" ht="12" customHeight="1" s="1">
      <c r="A168" s="194" t="n"/>
      <c r="B168" s="194" t="n"/>
      <c r="C168" s="126" t="n"/>
      <c r="D168" s="126" t="n"/>
      <c r="E168" s="126" t="n"/>
      <c r="F168" s="126" t="n"/>
      <c r="G168" s="126" t="n"/>
      <c r="H168" s="126" t="n"/>
      <c r="I168" s="126" t="n"/>
      <c r="J168" s="126" t="n"/>
      <c r="K168" s="126" t="n"/>
      <c r="L168" s="127" t="n"/>
      <c r="M168" s="126" t="n"/>
      <c r="N168" s="194" t="n"/>
      <c r="O168" s="194" t="n"/>
      <c r="P168" s="194" t="n"/>
      <c r="Q168" s="199" t="n"/>
    </row>
    <row r="169" ht="12" customHeight="1" s="1">
      <c r="A169" s="194" t="n"/>
      <c r="B169" s="194" t="n"/>
      <c r="C169" s="126" t="n"/>
      <c r="D169" s="126" t="n"/>
      <c r="E169" s="126" t="n"/>
      <c r="F169" s="126" t="n"/>
      <c r="G169" s="126" t="n"/>
      <c r="H169" s="126" t="n"/>
      <c r="I169" s="126" t="n"/>
      <c r="J169" s="126" t="n"/>
      <c r="K169" s="126" t="n"/>
      <c r="L169" s="127" t="n"/>
      <c r="M169" s="126" t="n"/>
      <c r="N169" s="194" t="n"/>
      <c r="O169" s="194" t="n"/>
      <c r="P169" s="194" t="n"/>
      <c r="Q169" s="199" t="n"/>
    </row>
    <row r="170" ht="12" customHeight="1" s="1">
      <c r="A170" s="194" t="n"/>
      <c r="B170" s="194" t="n"/>
      <c r="C170" s="126" t="n"/>
      <c r="D170" s="126" t="n"/>
      <c r="E170" s="126" t="n"/>
      <c r="F170" s="126" t="n"/>
      <c r="G170" s="126" t="n"/>
      <c r="H170" s="126" t="n"/>
      <c r="I170" s="126" t="n"/>
      <c r="J170" s="126" t="n"/>
      <c r="K170" s="126" t="n"/>
      <c r="L170" s="127" t="n"/>
      <c r="M170" s="126" t="n"/>
      <c r="N170" s="194" t="n"/>
      <c r="O170" s="194" t="n"/>
      <c r="P170" s="194" t="n"/>
      <c r="Q170" s="199" t="n"/>
    </row>
    <row r="171" ht="12" customHeight="1" s="1">
      <c r="A171" s="194" t="n"/>
      <c r="B171" s="194" t="n"/>
      <c r="C171" s="126" t="n"/>
      <c r="D171" s="126" t="n"/>
      <c r="E171" s="126" t="n"/>
      <c r="F171" s="126" t="n"/>
      <c r="G171" s="126" t="n"/>
      <c r="H171" s="126" t="n"/>
      <c r="I171" s="126" t="n"/>
      <c r="J171" s="126" t="n"/>
      <c r="K171" s="126" t="n"/>
      <c r="L171" s="127" t="n"/>
      <c r="M171" s="126" t="n"/>
      <c r="N171" s="194" t="n"/>
      <c r="O171" s="194" t="n"/>
      <c r="P171" s="194" t="n"/>
      <c r="Q171" s="199" t="n"/>
    </row>
    <row r="172" ht="12" customHeight="1" s="1">
      <c r="A172" s="194" t="n"/>
      <c r="B172" s="194" t="n"/>
      <c r="C172" s="126" t="n"/>
      <c r="D172" s="126" t="n"/>
      <c r="E172" s="126" t="n"/>
      <c r="F172" s="126" t="n"/>
      <c r="G172" s="126" t="n"/>
      <c r="H172" s="126" t="n"/>
      <c r="I172" s="126" t="n"/>
      <c r="J172" s="126" t="n"/>
      <c r="K172" s="126" t="n"/>
      <c r="L172" s="127" t="n"/>
      <c r="M172" s="126" t="n"/>
      <c r="N172" s="194" t="n"/>
      <c r="O172" s="194" t="n"/>
      <c r="P172" s="194" t="n"/>
      <c r="Q172" s="199" t="n"/>
    </row>
    <row r="173" ht="12" customHeight="1" s="1">
      <c r="A173" s="194" t="n"/>
      <c r="B173" s="194" t="n"/>
      <c r="C173" s="126" t="n"/>
      <c r="D173" s="126" t="n"/>
      <c r="E173" s="126" t="n"/>
      <c r="F173" s="126" t="n"/>
      <c r="G173" s="126" t="n"/>
      <c r="H173" s="126" t="n"/>
      <c r="I173" s="126" t="n"/>
      <c r="J173" s="126" t="n"/>
      <c r="K173" s="126" t="n"/>
      <c r="L173" s="127" t="n"/>
      <c r="M173" s="126" t="n"/>
      <c r="N173" s="194" t="n"/>
      <c r="O173" s="194" t="n"/>
      <c r="P173" s="194" t="n"/>
      <c r="Q173" s="199" t="n"/>
    </row>
    <row r="174" ht="12" customHeight="1" s="1">
      <c r="A174" s="194" t="n"/>
      <c r="B174" s="194" t="n"/>
      <c r="C174" s="126" t="n"/>
      <c r="D174" s="126" t="n"/>
      <c r="E174" s="126" t="n"/>
      <c r="F174" s="126" t="n"/>
      <c r="G174" s="126" t="n"/>
      <c r="H174" s="126" t="n"/>
      <c r="I174" s="126" t="n"/>
      <c r="J174" s="126" t="n"/>
      <c r="K174" s="126" t="n"/>
      <c r="L174" s="127" t="n"/>
      <c r="M174" s="126" t="n"/>
      <c r="N174" s="194" t="n"/>
      <c r="O174" s="194" t="n"/>
      <c r="P174" s="194" t="n"/>
      <c r="Q174" s="199" t="n"/>
    </row>
    <row r="175" ht="12" customHeight="1" s="1">
      <c r="A175" s="194" t="n"/>
      <c r="B175" s="194" t="n"/>
      <c r="C175" s="126" t="n"/>
      <c r="D175" s="126" t="n"/>
      <c r="E175" s="126" t="n"/>
      <c r="F175" s="126" t="n"/>
      <c r="G175" s="126" t="n"/>
      <c r="H175" s="126" t="n"/>
      <c r="I175" s="126" t="n"/>
      <c r="J175" s="126" t="n"/>
      <c r="K175" s="126" t="n"/>
      <c r="L175" s="127" t="n"/>
      <c r="M175" s="126" t="n"/>
      <c r="N175" s="194" t="n"/>
      <c r="O175" s="194" t="n"/>
      <c r="P175" s="194" t="n"/>
      <c r="Q175" s="199" t="n"/>
    </row>
    <row r="176" ht="12" customHeight="1" s="1">
      <c r="A176" s="194" t="n"/>
      <c r="B176" s="194" t="n"/>
      <c r="C176" s="126" t="n"/>
      <c r="D176" s="126" t="n"/>
      <c r="E176" s="126" t="n"/>
      <c r="F176" s="126" t="n"/>
      <c r="G176" s="126" t="n"/>
      <c r="H176" s="126" t="n"/>
      <c r="I176" s="126" t="n"/>
      <c r="J176" s="126" t="n"/>
      <c r="K176" s="126" t="n"/>
      <c r="L176" s="127" t="n"/>
      <c r="M176" s="126" t="n"/>
      <c r="N176" s="194" t="n"/>
      <c r="O176" s="194" t="n"/>
      <c r="P176" s="194" t="n"/>
      <c r="Q176" s="199" t="n"/>
    </row>
    <row r="177" ht="12" customHeight="1" s="1">
      <c r="A177" s="194" t="n"/>
      <c r="B177" s="194" t="n"/>
      <c r="C177" s="126" t="n"/>
      <c r="D177" s="126" t="n"/>
      <c r="E177" s="126" t="n"/>
      <c r="F177" s="126" t="n"/>
      <c r="G177" s="126" t="n"/>
      <c r="H177" s="126" t="n"/>
      <c r="I177" s="126" t="n"/>
      <c r="J177" s="126" t="n"/>
      <c r="K177" s="126" t="n"/>
      <c r="L177" s="127" t="n"/>
      <c r="M177" s="126" t="n"/>
      <c r="N177" s="194" t="n"/>
      <c r="O177" s="194" t="n"/>
      <c r="P177" s="194" t="n"/>
      <c r="Q177" s="199" t="n"/>
    </row>
    <row r="178" ht="12" customHeight="1" s="1">
      <c r="A178" s="194" t="n"/>
      <c r="B178" s="194" t="n"/>
      <c r="C178" s="126" t="n"/>
      <c r="D178" s="126" t="n"/>
      <c r="E178" s="126" t="n"/>
      <c r="F178" s="126" t="n"/>
      <c r="G178" s="126" t="n"/>
      <c r="H178" s="126" t="n"/>
      <c r="I178" s="126" t="n"/>
      <c r="J178" s="126" t="n"/>
      <c r="K178" s="126" t="n"/>
      <c r="L178" s="127" t="n"/>
      <c r="M178" s="126" t="n"/>
      <c r="N178" s="194" t="n"/>
      <c r="O178" s="194" t="n"/>
      <c r="P178" s="194" t="n"/>
      <c r="Q178" s="199" t="n"/>
    </row>
    <row r="179" ht="12" customHeight="1" s="1">
      <c r="A179" s="194" t="n"/>
      <c r="B179" s="194" t="n"/>
      <c r="C179" s="126" t="n"/>
      <c r="D179" s="126" t="n"/>
      <c r="E179" s="126" t="n"/>
      <c r="F179" s="126" t="n"/>
      <c r="G179" s="126" t="n"/>
      <c r="H179" s="126" t="n"/>
      <c r="I179" s="126" t="n"/>
      <c r="J179" s="126" t="n"/>
      <c r="K179" s="126" t="n"/>
      <c r="L179" s="127" t="n"/>
      <c r="M179" s="126" t="n"/>
      <c r="N179" s="194" t="n"/>
      <c r="O179" s="194" t="n"/>
      <c r="P179" s="194" t="n"/>
      <c r="Q179" s="199" t="n"/>
    </row>
    <row r="180" ht="12" customHeight="1" s="1">
      <c r="A180" s="194" t="n"/>
      <c r="B180" s="194" t="n"/>
      <c r="C180" s="126" t="n"/>
      <c r="D180" s="126" t="n"/>
      <c r="E180" s="126" t="n"/>
      <c r="F180" s="126" t="n"/>
      <c r="G180" s="126" t="n"/>
      <c r="H180" s="126" t="n"/>
      <c r="I180" s="126" t="n"/>
      <c r="J180" s="126" t="n"/>
      <c r="K180" s="126" t="n"/>
      <c r="L180" s="127" t="n"/>
      <c r="M180" s="126" t="n"/>
      <c r="N180" s="194" t="n"/>
      <c r="O180" s="194" t="n"/>
      <c r="P180" s="194" t="n"/>
      <c r="Q180" s="199" t="n"/>
    </row>
    <row r="181" ht="12" customHeight="1" s="1">
      <c r="A181" s="194" t="n"/>
      <c r="B181" s="194" t="n"/>
      <c r="C181" s="126" t="n"/>
      <c r="D181" s="126" t="n"/>
      <c r="E181" s="126" t="n"/>
      <c r="F181" s="126" t="n"/>
      <c r="G181" s="126" t="n"/>
      <c r="H181" s="126" t="n"/>
      <c r="I181" s="126" t="n"/>
      <c r="J181" s="126" t="n"/>
      <c r="K181" s="126" t="n"/>
      <c r="L181" s="127" t="n"/>
      <c r="M181" s="126" t="n"/>
      <c r="N181" s="194" t="n"/>
      <c r="O181" s="194" t="n"/>
      <c r="P181" s="194" t="n"/>
      <c r="Q181" s="199" t="n"/>
    </row>
    <row r="182" ht="12" customHeight="1" s="1">
      <c r="A182" s="194" t="n"/>
      <c r="B182" s="194" t="n"/>
      <c r="C182" s="126" t="n"/>
      <c r="D182" s="126" t="n"/>
      <c r="E182" s="126" t="n"/>
      <c r="F182" s="126" t="n"/>
      <c r="G182" s="126" t="n"/>
      <c r="H182" s="126" t="n"/>
      <c r="I182" s="126" t="n"/>
      <c r="J182" s="126" t="n"/>
      <c r="K182" s="126" t="n"/>
      <c r="L182" s="127" t="n"/>
      <c r="M182" s="126" t="n"/>
      <c r="N182" s="194" t="n"/>
      <c r="O182" s="194" t="n"/>
      <c r="P182" s="194" t="n"/>
      <c r="Q182" s="199" t="n"/>
    </row>
    <row r="183" ht="12" customHeight="1" s="1">
      <c r="A183" s="194" t="n"/>
      <c r="B183" s="194" t="n"/>
      <c r="C183" s="126" t="n"/>
      <c r="D183" s="126" t="n"/>
      <c r="E183" s="126" t="n"/>
      <c r="F183" s="126" t="n"/>
      <c r="G183" s="126" t="n"/>
      <c r="H183" s="126" t="n"/>
      <c r="I183" s="126" t="n"/>
      <c r="J183" s="126" t="n"/>
      <c r="K183" s="126" t="n"/>
      <c r="L183" s="127" t="n"/>
      <c r="M183" s="126" t="n"/>
      <c r="N183" s="194" t="n"/>
      <c r="O183" s="194" t="n"/>
      <c r="P183" s="194" t="n"/>
      <c r="Q183" s="199" t="n"/>
    </row>
    <row r="184" ht="12" customHeight="1" s="1">
      <c r="A184" s="194" t="n"/>
      <c r="B184" s="194" t="n"/>
      <c r="C184" s="126" t="n"/>
      <c r="D184" s="126" t="n"/>
      <c r="E184" s="126" t="n"/>
      <c r="F184" s="126" t="n"/>
      <c r="G184" s="126" t="n"/>
      <c r="H184" s="126" t="n"/>
      <c r="I184" s="126" t="n"/>
      <c r="J184" s="126" t="n"/>
      <c r="K184" s="126" t="n"/>
      <c r="L184" s="127" t="n"/>
      <c r="M184" s="126" t="n"/>
      <c r="N184" s="194" t="n"/>
      <c r="O184" s="194" t="n"/>
      <c r="P184" s="194" t="n"/>
      <c r="Q184" s="199" t="n"/>
    </row>
    <row r="185" ht="12" customHeight="1" s="1">
      <c r="A185" s="194" t="n"/>
      <c r="B185" s="194" t="n"/>
      <c r="C185" s="126" t="n"/>
      <c r="D185" s="126" t="n"/>
      <c r="E185" s="126" t="n"/>
      <c r="F185" s="126" t="n"/>
      <c r="G185" s="126" t="n"/>
      <c r="H185" s="126" t="n"/>
      <c r="I185" s="126" t="n"/>
      <c r="J185" s="126" t="n"/>
      <c r="K185" s="126" t="n"/>
      <c r="L185" s="127" t="n"/>
      <c r="M185" s="126" t="n"/>
      <c r="N185" s="194" t="n"/>
      <c r="O185" s="194" t="n"/>
      <c r="P185" s="194" t="n"/>
      <c r="Q185" s="199" t="n"/>
    </row>
    <row r="186" ht="12" customHeight="1" s="1">
      <c r="A186" s="194" t="n"/>
      <c r="B186" s="194" t="n"/>
      <c r="C186" s="126" t="n"/>
      <c r="D186" s="126" t="n"/>
      <c r="E186" s="126" t="n"/>
      <c r="F186" s="126" t="n"/>
      <c r="G186" s="126" t="n"/>
      <c r="H186" s="126" t="n"/>
      <c r="I186" s="126" t="n"/>
      <c r="J186" s="126" t="n"/>
      <c r="K186" s="126" t="n"/>
      <c r="L186" s="127" t="n"/>
      <c r="M186" s="126" t="n"/>
      <c r="N186" s="194" t="n"/>
      <c r="O186" s="194" t="n"/>
      <c r="P186" s="194" t="n"/>
      <c r="Q186" s="199" t="n"/>
    </row>
    <row r="187" ht="12" customHeight="1" s="1">
      <c r="A187" s="194" t="n"/>
      <c r="B187" s="194" t="n"/>
      <c r="C187" s="126" t="n"/>
      <c r="D187" s="126" t="n"/>
      <c r="E187" s="126" t="n"/>
      <c r="F187" s="126" t="n"/>
      <c r="G187" s="126" t="n"/>
      <c r="H187" s="126" t="n"/>
      <c r="I187" s="126" t="n"/>
      <c r="J187" s="126" t="n"/>
      <c r="K187" s="126" t="n"/>
      <c r="L187" s="127" t="n"/>
      <c r="M187" s="126" t="n"/>
      <c r="N187" s="194" t="n"/>
      <c r="O187" s="194" t="n"/>
      <c r="P187" s="194" t="n"/>
      <c r="Q187" s="199" t="n"/>
    </row>
    <row r="188" ht="12" customHeight="1" s="1">
      <c r="A188" s="194" t="n"/>
      <c r="B188" s="194" t="n"/>
      <c r="C188" s="126" t="n"/>
      <c r="D188" s="126" t="n"/>
      <c r="E188" s="126" t="n"/>
      <c r="F188" s="126" t="n"/>
      <c r="G188" s="126" t="n"/>
      <c r="H188" s="126" t="n"/>
      <c r="I188" s="126" t="n"/>
      <c r="J188" s="126" t="n"/>
      <c r="K188" s="126" t="n"/>
      <c r="L188" s="127" t="n"/>
      <c r="M188" s="126" t="n"/>
      <c r="N188" s="194" t="n"/>
      <c r="O188" s="194" t="n"/>
      <c r="P188" s="194" t="n"/>
      <c r="Q188" s="199" t="n"/>
    </row>
    <row r="189" ht="12" customHeight="1" s="1">
      <c r="A189" s="194" t="n"/>
      <c r="B189" s="194" t="n"/>
      <c r="C189" s="126" t="n"/>
      <c r="D189" s="126" t="n"/>
      <c r="E189" s="126" t="n"/>
      <c r="F189" s="126" t="n"/>
      <c r="G189" s="126" t="n"/>
      <c r="H189" s="126" t="n"/>
      <c r="I189" s="126" t="n"/>
      <c r="J189" s="126" t="n"/>
      <c r="K189" s="126" t="n"/>
      <c r="L189" s="127" t="n"/>
      <c r="M189" s="126" t="n"/>
      <c r="N189" s="194" t="n"/>
      <c r="O189" s="194" t="n"/>
      <c r="P189" s="194" t="n"/>
      <c r="Q189" s="199" t="n"/>
    </row>
    <row r="190" ht="12" customHeight="1" s="1">
      <c r="A190" s="194" t="n"/>
      <c r="B190" s="194" t="n"/>
      <c r="C190" s="126" t="n"/>
      <c r="D190" s="126" t="n"/>
      <c r="E190" s="126" t="n"/>
      <c r="F190" s="126" t="n"/>
      <c r="G190" s="126" t="n"/>
      <c r="H190" s="126" t="n"/>
      <c r="I190" s="126" t="n"/>
      <c r="J190" s="126" t="n"/>
      <c r="K190" s="126" t="n"/>
      <c r="L190" s="127" t="n"/>
      <c r="M190" s="126" t="n"/>
      <c r="N190" s="194" t="n"/>
      <c r="O190" s="194" t="n"/>
      <c r="P190" s="194" t="n"/>
      <c r="Q190" s="199" t="n"/>
    </row>
    <row r="191" ht="12" customHeight="1" s="1">
      <c r="A191" s="194" t="n"/>
      <c r="B191" s="194" t="n"/>
      <c r="C191" s="126" t="n"/>
      <c r="D191" s="126" t="n"/>
      <c r="E191" s="126" t="n"/>
      <c r="F191" s="126" t="n"/>
      <c r="G191" s="126" t="n"/>
      <c r="H191" s="126" t="n"/>
      <c r="I191" s="126" t="n"/>
      <c r="J191" s="126" t="n"/>
      <c r="K191" s="126" t="n"/>
      <c r="L191" s="127" t="n"/>
      <c r="M191" s="126" t="n"/>
      <c r="N191" s="194" t="n"/>
      <c r="O191" s="194" t="n"/>
      <c r="P191" s="194" t="n"/>
      <c r="Q191" s="199" t="n"/>
    </row>
    <row r="192" ht="12" customHeight="1" s="1">
      <c r="A192" s="194" t="n"/>
      <c r="B192" s="194" t="n"/>
      <c r="C192" s="126" t="n"/>
      <c r="D192" s="126" t="n"/>
      <c r="E192" s="126" t="n"/>
      <c r="F192" s="126" t="n"/>
      <c r="G192" s="126" t="n"/>
      <c r="H192" s="126" t="n"/>
      <c r="I192" s="126" t="n"/>
      <c r="J192" s="126" t="n"/>
      <c r="K192" s="126" t="n"/>
      <c r="L192" s="127" t="n"/>
      <c r="M192" s="126" t="n"/>
      <c r="N192" s="194" t="n"/>
      <c r="O192" s="194" t="n"/>
      <c r="P192" s="194" t="n"/>
      <c r="Q192" s="199" t="n"/>
    </row>
    <row r="193" ht="12" customHeight="1" s="1">
      <c r="A193" s="194" t="n"/>
      <c r="B193" s="194" t="n"/>
      <c r="C193" s="126" t="n"/>
      <c r="D193" s="126" t="n"/>
      <c r="E193" s="126" t="n"/>
      <c r="F193" s="126" t="n"/>
      <c r="G193" s="126" t="n"/>
      <c r="H193" s="126" t="n"/>
      <c r="I193" s="126" t="n"/>
      <c r="J193" s="126" t="n"/>
      <c r="K193" s="126" t="n"/>
      <c r="L193" s="127" t="n"/>
      <c r="M193" s="126" t="n"/>
      <c r="N193" s="194" t="n"/>
      <c r="O193" s="194" t="n"/>
      <c r="P193" s="194" t="n"/>
      <c r="Q193" s="199" t="n"/>
    </row>
    <row r="194" ht="12" customHeight="1" s="1">
      <c r="A194" s="194" t="n"/>
      <c r="B194" s="194" t="n"/>
      <c r="C194" s="126" t="n"/>
      <c r="D194" s="126" t="n"/>
      <c r="E194" s="126" t="n"/>
      <c r="F194" s="126" t="n"/>
      <c r="G194" s="126" t="n"/>
      <c r="H194" s="126" t="n"/>
      <c r="I194" s="126" t="n"/>
      <c r="J194" s="126" t="n"/>
      <c r="K194" s="126" t="n"/>
      <c r="L194" s="127" t="n"/>
      <c r="M194" s="126" t="n"/>
      <c r="N194" s="194" t="n"/>
      <c r="O194" s="194" t="n"/>
      <c r="P194" s="194" t="n"/>
      <c r="Q194" s="199" t="n"/>
    </row>
    <row r="195" ht="12" customHeight="1" s="1">
      <c r="A195" s="194" t="n"/>
      <c r="B195" s="194" t="n"/>
      <c r="C195" s="126" t="n"/>
      <c r="D195" s="126" t="n"/>
      <c r="E195" s="126" t="n"/>
      <c r="F195" s="126" t="n"/>
      <c r="G195" s="126" t="n"/>
      <c r="H195" s="126" t="n"/>
      <c r="I195" s="126" t="n"/>
      <c r="J195" s="126" t="n"/>
      <c r="K195" s="126" t="n"/>
      <c r="L195" s="127" t="n"/>
      <c r="M195" s="126" t="n"/>
      <c r="N195" s="194" t="n"/>
      <c r="O195" s="194" t="n"/>
      <c r="P195" s="194" t="n"/>
      <c r="Q195" s="199" t="n"/>
    </row>
    <row r="196" ht="12" customHeight="1" s="1">
      <c r="A196" s="194" t="n"/>
      <c r="B196" s="194" t="n"/>
      <c r="C196" s="126" t="n"/>
      <c r="D196" s="126" t="n"/>
      <c r="E196" s="126" t="n"/>
      <c r="F196" s="126" t="n"/>
      <c r="G196" s="126" t="n"/>
      <c r="H196" s="126" t="n"/>
      <c r="I196" s="126" t="n"/>
      <c r="J196" s="126" t="n"/>
      <c r="K196" s="126" t="n"/>
      <c r="L196" s="127" t="n"/>
      <c r="M196" s="126" t="n"/>
      <c r="N196" s="194" t="n"/>
      <c r="O196" s="194" t="n"/>
      <c r="P196" s="194" t="n"/>
      <c r="Q196" s="199" t="n"/>
    </row>
    <row r="197" ht="12" customHeight="1" s="1">
      <c r="A197" s="194" t="n"/>
      <c r="B197" s="194" t="n"/>
      <c r="C197" s="126" t="n"/>
      <c r="D197" s="126" t="n"/>
      <c r="E197" s="126" t="n"/>
      <c r="F197" s="126" t="n"/>
      <c r="G197" s="126" t="n"/>
      <c r="H197" s="126" t="n"/>
      <c r="I197" s="126" t="n"/>
      <c r="J197" s="126" t="n"/>
      <c r="K197" s="126" t="n"/>
      <c r="L197" s="127" t="n"/>
      <c r="M197" s="126" t="n"/>
      <c r="N197" s="194" t="n"/>
      <c r="O197" s="194" t="n"/>
      <c r="P197" s="194" t="n"/>
      <c r="Q197" s="199" t="n"/>
    </row>
    <row r="198" ht="12" customHeight="1" s="1">
      <c r="A198" s="194" t="n"/>
      <c r="B198" s="194" t="n"/>
      <c r="C198" s="126" t="n"/>
      <c r="D198" s="126" t="n"/>
      <c r="E198" s="126" t="n"/>
      <c r="F198" s="126" t="n"/>
      <c r="G198" s="126" t="n"/>
      <c r="H198" s="126" t="n"/>
      <c r="I198" s="126" t="n"/>
      <c r="J198" s="126" t="n"/>
      <c r="K198" s="126" t="n"/>
      <c r="L198" s="127" t="n"/>
      <c r="M198" s="126" t="n"/>
      <c r="N198" s="194" t="n"/>
      <c r="O198" s="194" t="n"/>
      <c r="P198" s="194" t="n"/>
      <c r="Q198" s="199" t="n"/>
    </row>
    <row r="199" ht="12" customHeight="1" s="1">
      <c r="A199" s="194" t="n"/>
      <c r="B199" s="194" t="n"/>
      <c r="C199" s="126" t="n"/>
      <c r="D199" s="126" t="n"/>
      <c r="E199" s="126" t="n"/>
      <c r="F199" s="126" t="n"/>
      <c r="G199" s="126" t="n"/>
      <c r="H199" s="126" t="n"/>
      <c r="I199" s="126" t="n"/>
      <c r="J199" s="126" t="n"/>
      <c r="K199" s="126" t="n"/>
      <c r="L199" s="127" t="n"/>
      <c r="M199" s="126" t="n"/>
      <c r="N199" s="194" t="n"/>
      <c r="O199" s="194" t="n"/>
      <c r="P199" s="194" t="n"/>
      <c r="Q199" s="199" t="n"/>
    </row>
    <row r="200" ht="12" customHeight="1" s="1">
      <c r="A200" s="194" t="n"/>
      <c r="B200" s="194" t="n"/>
      <c r="C200" s="126" t="n"/>
      <c r="D200" s="126" t="n"/>
      <c r="E200" s="126" t="n"/>
      <c r="F200" s="126" t="n"/>
      <c r="G200" s="126" t="n"/>
      <c r="H200" s="126" t="n"/>
      <c r="I200" s="126" t="n"/>
      <c r="J200" s="126" t="n"/>
      <c r="K200" s="126" t="n"/>
      <c r="L200" s="127" t="n"/>
      <c r="M200" s="126" t="n"/>
      <c r="N200" s="194" t="n"/>
      <c r="O200" s="194" t="n"/>
      <c r="P200" s="194" t="n"/>
      <c r="Q200" s="199" t="n"/>
    </row>
    <row r="201" ht="12" customHeight="1" s="1">
      <c r="A201" s="194" t="n"/>
      <c r="B201" s="194" t="n"/>
      <c r="C201" s="126" t="n"/>
      <c r="D201" s="126" t="n"/>
      <c r="E201" s="126" t="n"/>
      <c r="F201" s="126" t="n"/>
      <c r="G201" s="126" t="n"/>
      <c r="H201" s="126" t="n"/>
      <c r="I201" s="126" t="n"/>
      <c r="J201" s="126" t="n"/>
      <c r="K201" s="126" t="n"/>
      <c r="L201" s="127" t="n"/>
      <c r="M201" s="126" t="n"/>
      <c r="N201" s="194" t="n"/>
      <c r="O201" s="194" t="n"/>
      <c r="P201" s="194" t="n"/>
      <c r="Q201" s="199" t="n"/>
    </row>
    <row r="202" ht="12" customHeight="1" s="1">
      <c r="A202" s="194" t="n"/>
      <c r="B202" s="194" t="n"/>
      <c r="C202" s="126" t="n"/>
      <c r="D202" s="126" t="n"/>
      <c r="E202" s="126" t="n"/>
      <c r="F202" s="126" t="n"/>
      <c r="G202" s="126" t="n"/>
      <c r="H202" s="126" t="n"/>
      <c r="I202" s="126" t="n"/>
      <c r="J202" s="126" t="n"/>
      <c r="K202" s="126" t="n"/>
      <c r="L202" s="127" t="n"/>
      <c r="M202" s="126" t="n"/>
      <c r="N202" s="194" t="n"/>
      <c r="O202" s="194" t="n"/>
      <c r="P202" s="194" t="n"/>
      <c r="Q202" s="199" t="n"/>
    </row>
    <row r="203" ht="12" customHeight="1" s="1">
      <c r="A203" s="194" t="n"/>
      <c r="B203" s="194" t="n"/>
      <c r="C203" s="126" t="n"/>
      <c r="D203" s="126" t="n"/>
      <c r="E203" s="126" t="n"/>
      <c r="F203" s="126" t="n"/>
      <c r="G203" s="126" t="n"/>
      <c r="H203" s="126" t="n"/>
      <c r="I203" s="126" t="n"/>
      <c r="J203" s="126" t="n"/>
      <c r="K203" s="126" t="n"/>
      <c r="L203" s="127" t="n"/>
      <c r="M203" s="126" t="n"/>
      <c r="N203" s="194" t="n"/>
      <c r="O203" s="194" t="n"/>
      <c r="P203" s="194" t="n"/>
      <c r="Q203" s="199" t="n"/>
    </row>
    <row r="204" ht="12" customHeight="1" s="1">
      <c r="A204" s="194" t="n"/>
      <c r="B204" s="194" t="n"/>
      <c r="C204" s="126" t="n"/>
      <c r="D204" s="126" t="n"/>
      <c r="E204" s="126" t="n"/>
      <c r="F204" s="126" t="n"/>
      <c r="G204" s="126" t="n"/>
      <c r="H204" s="126" t="n"/>
      <c r="I204" s="126" t="n"/>
      <c r="J204" s="126" t="n"/>
      <c r="K204" s="126" t="n"/>
      <c r="L204" s="127" t="n"/>
      <c r="M204" s="126" t="n"/>
      <c r="N204" s="194" t="n"/>
      <c r="O204" s="194" t="n"/>
      <c r="P204" s="194" t="n"/>
      <c r="Q204" s="199" t="n"/>
    </row>
    <row r="205" ht="12" customHeight="1" s="1">
      <c r="A205" s="194" t="n"/>
      <c r="B205" s="194" t="n"/>
      <c r="C205" s="126" t="n"/>
      <c r="D205" s="126" t="n"/>
      <c r="E205" s="126" t="n"/>
      <c r="F205" s="126" t="n"/>
      <c r="G205" s="126" t="n"/>
      <c r="H205" s="126" t="n"/>
      <c r="I205" s="126" t="n"/>
      <c r="J205" s="126" t="n"/>
      <c r="K205" s="126" t="n"/>
      <c r="L205" s="127" t="n"/>
      <c r="M205" s="126" t="n"/>
      <c r="N205" s="194" t="n"/>
      <c r="O205" s="194" t="n"/>
      <c r="P205" s="194" t="n"/>
      <c r="Q205" s="199" t="n"/>
    </row>
    <row r="206" ht="12" customHeight="1" s="1">
      <c r="A206" s="194" t="n"/>
      <c r="B206" s="194" t="n"/>
      <c r="C206" s="126" t="n"/>
      <c r="D206" s="126" t="n"/>
      <c r="E206" s="126" t="n"/>
      <c r="F206" s="126" t="n"/>
      <c r="G206" s="126" t="n"/>
      <c r="H206" s="126" t="n"/>
      <c r="I206" s="126" t="n"/>
      <c r="J206" s="126" t="n"/>
      <c r="K206" s="126" t="n"/>
      <c r="L206" s="127" t="n"/>
      <c r="M206" s="126" t="n"/>
      <c r="N206" s="194" t="n"/>
      <c r="O206" s="194" t="n"/>
      <c r="P206" s="194" t="n"/>
      <c r="Q206" s="199" t="n"/>
    </row>
    <row r="207" ht="12" customHeight="1" s="1">
      <c r="A207" s="194" t="n"/>
      <c r="B207" s="194" t="n"/>
      <c r="C207" s="126" t="n"/>
      <c r="D207" s="126" t="n"/>
      <c r="E207" s="126" t="n"/>
      <c r="F207" s="126" t="n"/>
      <c r="G207" s="126" t="n"/>
      <c r="H207" s="126" t="n"/>
      <c r="I207" s="126" t="n"/>
      <c r="J207" s="126" t="n"/>
      <c r="K207" s="126" t="n"/>
      <c r="L207" s="127" t="n"/>
      <c r="M207" s="126" t="n"/>
      <c r="N207" s="194" t="n"/>
      <c r="O207" s="194" t="n"/>
      <c r="P207" s="194" t="n"/>
      <c r="Q207" s="199" t="n"/>
    </row>
    <row r="208" ht="12" customHeight="1" s="1">
      <c r="A208" s="194" t="n"/>
      <c r="B208" s="194" t="n"/>
      <c r="C208" s="126" t="n"/>
      <c r="D208" s="126" t="n"/>
      <c r="E208" s="126" t="n"/>
      <c r="F208" s="126" t="n"/>
      <c r="G208" s="126" t="n"/>
      <c r="H208" s="126" t="n"/>
      <c r="I208" s="126" t="n"/>
      <c r="J208" s="126" t="n"/>
      <c r="K208" s="126" t="n"/>
      <c r="L208" s="127" t="n"/>
      <c r="M208" s="126" t="n"/>
      <c r="N208" s="194" t="n"/>
      <c r="O208" s="194" t="n"/>
      <c r="P208" s="194" t="n"/>
      <c r="Q208" s="199" t="n"/>
    </row>
    <row r="209" ht="12" customHeight="1" s="1">
      <c r="A209" s="194" t="n"/>
      <c r="B209" s="194" t="n"/>
      <c r="C209" s="126" t="n"/>
      <c r="D209" s="126" t="n"/>
      <c r="E209" s="126" t="n"/>
      <c r="F209" s="126" t="n"/>
      <c r="G209" s="126" t="n"/>
      <c r="H209" s="126" t="n"/>
      <c r="I209" s="126" t="n"/>
      <c r="J209" s="126" t="n"/>
      <c r="K209" s="126" t="n"/>
      <c r="L209" s="127" t="n"/>
      <c r="M209" s="126" t="n"/>
      <c r="N209" s="194" t="n"/>
      <c r="O209" s="194" t="n"/>
      <c r="P209" s="194" t="n"/>
      <c r="Q209" s="199" t="n"/>
    </row>
    <row r="210" ht="12" customHeight="1" s="1">
      <c r="A210" s="194" t="n"/>
      <c r="B210" s="194" t="n"/>
      <c r="C210" s="126" t="n"/>
      <c r="D210" s="126" t="n"/>
      <c r="E210" s="126" t="n"/>
      <c r="F210" s="126" t="n"/>
      <c r="G210" s="126" t="n"/>
      <c r="H210" s="126" t="n"/>
      <c r="I210" s="126" t="n"/>
      <c r="J210" s="126" t="n"/>
      <c r="K210" s="126" t="n"/>
      <c r="L210" s="127" t="n"/>
      <c r="M210" s="126" t="n"/>
      <c r="N210" s="194" t="n"/>
      <c r="O210" s="194" t="n"/>
      <c r="P210" s="194" t="n"/>
      <c r="Q210" s="199" t="n"/>
    </row>
    <row r="211" ht="12" customHeight="1" s="1">
      <c r="A211" s="194" t="n"/>
      <c r="B211" s="194" t="n"/>
      <c r="C211" s="126" t="n"/>
      <c r="D211" s="126" t="n"/>
      <c r="E211" s="126" t="n"/>
      <c r="F211" s="126" t="n"/>
      <c r="G211" s="126" t="n"/>
      <c r="H211" s="126" t="n"/>
      <c r="I211" s="126" t="n"/>
      <c r="J211" s="126" t="n"/>
      <c r="K211" s="126" t="n"/>
      <c r="L211" s="127" t="n"/>
      <c r="M211" s="126" t="n"/>
      <c r="N211" s="194" t="n"/>
      <c r="O211" s="194" t="n"/>
      <c r="P211" s="194" t="n"/>
      <c r="Q211" s="199" t="n"/>
    </row>
    <row r="212" ht="12" customHeight="1" s="1">
      <c r="A212" s="194" t="n"/>
      <c r="B212" s="194" t="n"/>
      <c r="C212" s="126" t="n"/>
      <c r="D212" s="126" t="n"/>
      <c r="E212" s="126" t="n"/>
      <c r="F212" s="126" t="n"/>
      <c r="G212" s="126" t="n"/>
      <c r="H212" s="126" t="n"/>
      <c r="I212" s="126" t="n"/>
      <c r="J212" s="126" t="n"/>
      <c r="K212" s="126" t="n"/>
      <c r="L212" s="127" t="n"/>
      <c r="M212" s="126" t="n"/>
      <c r="N212" s="194" t="n"/>
      <c r="O212" s="194" t="n"/>
      <c r="P212" s="194" t="n"/>
      <c r="Q212" s="199" t="n"/>
    </row>
    <row r="213" ht="12" customHeight="1" s="1">
      <c r="A213" s="194" t="n"/>
      <c r="B213" s="194" t="n"/>
      <c r="C213" s="126" t="n"/>
      <c r="D213" s="126" t="n"/>
      <c r="E213" s="126" t="n"/>
      <c r="F213" s="126" t="n"/>
      <c r="G213" s="126" t="n"/>
      <c r="H213" s="126" t="n"/>
      <c r="I213" s="126" t="n"/>
      <c r="J213" s="126" t="n"/>
      <c r="K213" s="126" t="n"/>
      <c r="L213" s="127" t="n"/>
      <c r="M213" s="126" t="n"/>
      <c r="N213" s="194" t="n"/>
      <c r="O213" s="194" t="n"/>
      <c r="P213" s="194" t="n"/>
      <c r="Q213" s="199" t="n"/>
    </row>
    <row r="214" ht="12" customHeight="1" s="1">
      <c r="A214" s="194" t="n"/>
      <c r="B214" s="194" t="n"/>
      <c r="C214" s="126" t="n"/>
      <c r="D214" s="126" t="n"/>
      <c r="E214" s="126" t="n"/>
      <c r="F214" s="126" t="n"/>
      <c r="G214" s="126" t="n"/>
      <c r="H214" s="126" t="n"/>
      <c r="I214" s="126" t="n"/>
      <c r="J214" s="126" t="n"/>
      <c r="K214" s="126" t="n"/>
      <c r="L214" s="127" t="n"/>
      <c r="M214" s="126" t="n"/>
      <c r="N214" s="194" t="n"/>
      <c r="O214" s="194" t="n"/>
      <c r="P214" s="194" t="n"/>
      <c r="Q214" s="199" t="n"/>
    </row>
    <row r="215" ht="12" customHeight="1" s="1">
      <c r="A215" s="194" t="n"/>
      <c r="B215" s="194" t="n"/>
      <c r="C215" s="126" t="n"/>
      <c r="D215" s="126" t="n"/>
      <c r="E215" s="126" t="n"/>
      <c r="F215" s="126" t="n"/>
      <c r="G215" s="126" t="n"/>
      <c r="H215" s="126" t="n"/>
      <c r="I215" s="126" t="n"/>
      <c r="J215" s="126" t="n"/>
      <c r="K215" s="126" t="n"/>
      <c r="L215" s="127" t="n"/>
      <c r="M215" s="126" t="n"/>
      <c r="N215" s="194" t="n"/>
      <c r="O215" s="194" t="n"/>
      <c r="P215" s="194" t="n"/>
      <c r="Q215" s="199" t="n"/>
    </row>
    <row r="216" ht="12" customHeight="1" s="1">
      <c r="A216" s="194" t="n"/>
      <c r="B216" s="194" t="n"/>
      <c r="C216" s="126" t="n"/>
      <c r="D216" s="126" t="n"/>
      <c r="E216" s="126" t="n"/>
      <c r="F216" s="126" t="n"/>
      <c r="G216" s="126" t="n"/>
      <c r="H216" s="126" t="n"/>
      <c r="I216" s="126" t="n"/>
      <c r="J216" s="126" t="n"/>
      <c r="K216" s="126" t="n"/>
      <c r="L216" s="127" t="n"/>
      <c r="M216" s="126" t="n"/>
      <c r="N216" s="194" t="n"/>
      <c r="O216" s="194" t="n"/>
      <c r="P216" s="194" t="n"/>
      <c r="Q216" s="199" t="n"/>
    </row>
    <row r="217" ht="12" customHeight="1" s="1">
      <c r="A217" s="194" t="n"/>
      <c r="B217" s="194" t="n"/>
      <c r="C217" s="126" t="n"/>
      <c r="D217" s="126" t="n"/>
      <c r="E217" s="126" t="n"/>
      <c r="F217" s="126" t="n"/>
      <c r="G217" s="126" t="n"/>
      <c r="H217" s="126" t="n"/>
      <c r="I217" s="126" t="n"/>
      <c r="J217" s="126" t="n"/>
      <c r="K217" s="126" t="n"/>
      <c r="L217" s="127" t="n"/>
      <c r="M217" s="126" t="n"/>
      <c r="N217" s="194" t="n"/>
      <c r="O217" s="194" t="n"/>
      <c r="P217" s="194" t="n"/>
      <c r="Q217" s="199" t="n"/>
    </row>
    <row r="218" ht="12" customHeight="1" s="1">
      <c r="A218" s="194" t="n"/>
      <c r="B218" s="194" t="n"/>
      <c r="C218" s="126" t="n"/>
      <c r="D218" s="126" t="n"/>
      <c r="E218" s="126" t="n"/>
      <c r="F218" s="126" t="n"/>
      <c r="G218" s="126" t="n"/>
      <c r="H218" s="126" t="n"/>
      <c r="I218" s="126" t="n"/>
      <c r="J218" s="126" t="n"/>
      <c r="K218" s="126" t="n"/>
      <c r="L218" s="127" t="n"/>
      <c r="M218" s="126" t="n"/>
      <c r="N218" s="194" t="n"/>
      <c r="O218" s="194" t="n"/>
      <c r="P218" s="194" t="n"/>
      <c r="Q218" s="199" t="n"/>
    </row>
    <row r="219" ht="12" customHeight="1" s="1">
      <c r="A219" s="194" t="n"/>
      <c r="B219" s="194" t="n"/>
      <c r="C219" s="126" t="n"/>
      <c r="D219" s="126" t="n"/>
      <c r="E219" s="126" t="n"/>
      <c r="F219" s="126" t="n"/>
      <c r="G219" s="126" t="n"/>
      <c r="H219" s="126" t="n"/>
      <c r="I219" s="126" t="n"/>
      <c r="J219" s="126" t="n"/>
      <c r="K219" s="126" t="n"/>
      <c r="L219" s="127" t="n"/>
      <c r="M219" s="126" t="n"/>
      <c r="N219" s="194" t="n"/>
      <c r="O219" s="194" t="n"/>
      <c r="P219" s="194" t="n"/>
      <c r="Q219" s="199" t="n"/>
    </row>
    <row r="220" ht="12" customHeight="1" s="1">
      <c r="A220" s="194" t="n"/>
      <c r="B220" s="194" t="n"/>
      <c r="C220" s="126" t="n"/>
      <c r="D220" s="126" t="n"/>
      <c r="E220" s="126" t="n"/>
      <c r="F220" s="126" t="n"/>
      <c r="G220" s="126" t="n"/>
      <c r="H220" s="126" t="n"/>
      <c r="I220" s="126" t="n"/>
      <c r="J220" s="126" t="n"/>
      <c r="K220" s="126" t="n"/>
      <c r="L220" s="127" t="n"/>
      <c r="M220" s="126" t="n"/>
      <c r="N220" s="194" t="n"/>
      <c r="O220" s="194" t="n"/>
      <c r="P220" s="194" t="n"/>
      <c r="Q220" s="199" t="n"/>
    </row>
    <row r="221" ht="12" customHeight="1" s="1">
      <c r="A221" s="194" t="n"/>
      <c r="B221" s="194" t="n"/>
      <c r="C221" s="126" t="n"/>
      <c r="D221" s="126" t="n"/>
      <c r="E221" s="126" t="n"/>
      <c r="F221" s="126" t="n"/>
      <c r="G221" s="126" t="n"/>
      <c r="H221" s="126" t="n"/>
      <c r="I221" s="126" t="n"/>
      <c r="J221" s="126" t="n"/>
      <c r="K221" s="126" t="n"/>
      <c r="L221" s="127" t="n"/>
      <c r="M221" s="126" t="n"/>
      <c r="N221" s="194" t="n"/>
      <c r="O221" s="194" t="n"/>
      <c r="P221" s="194" t="n"/>
      <c r="Q221" s="199" t="n"/>
    </row>
    <row r="222" ht="12" customHeight="1" s="1">
      <c r="A222" s="194" t="n"/>
      <c r="B222" s="194" t="n"/>
      <c r="C222" s="126" t="n"/>
      <c r="D222" s="126" t="n"/>
      <c r="E222" s="126" t="n"/>
      <c r="F222" s="126" t="n"/>
      <c r="G222" s="126" t="n"/>
      <c r="H222" s="126" t="n"/>
      <c r="I222" s="126" t="n"/>
      <c r="J222" s="126" t="n"/>
      <c r="K222" s="126" t="n"/>
      <c r="L222" s="127" t="n"/>
      <c r="M222" s="126" t="n"/>
      <c r="N222" s="194" t="n"/>
      <c r="O222" s="194" t="n"/>
      <c r="P222" s="194" t="n"/>
      <c r="Q222" s="199" t="n"/>
    </row>
    <row r="223" ht="12" customHeight="1" s="1">
      <c r="A223" s="194" t="n"/>
      <c r="B223" s="194" t="n"/>
      <c r="C223" s="126" t="n"/>
      <c r="D223" s="126" t="n"/>
      <c r="E223" s="126" t="n"/>
      <c r="F223" s="126" t="n"/>
      <c r="G223" s="126" t="n"/>
      <c r="H223" s="126" t="n"/>
      <c r="I223" s="126" t="n"/>
      <c r="J223" s="126" t="n"/>
      <c r="K223" s="126" t="n"/>
      <c r="L223" s="127" t="n"/>
      <c r="M223" s="126" t="n"/>
      <c r="N223" s="194" t="n"/>
      <c r="O223" s="194" t="n"/>
      <c r="P223" s="194" t="n"/>
      <c r="Q223" s="199" t="n"/>
    </row>
    <row r="224" ht="12" customHeight="1" s="1">
      <c r="A224" s="194" t="n"/>
      <c r="B224" s="194" t="n"/>
      <c r="C224" s="126" t="n"/>
      <c r="D224" s="126" t="n"/>
      <c r="E224" s="126" t="n"/>
      <c r="F224" s="126" t="n"/>
      <c r="G224" s="126" t="n"/>
      <c r="H224" s="126" t="n"/>
      <c r="I224" s="126" t="n"/>
      <c r="J224" s="126" t="n"/>
      <c r="K224" s="126" t="n"/>
      <c r="L224" s="127" t="n"/>
      <c r="M224" s="126" t="n"/>
      <c r="N224" s="194" t="n"/>
      <c r="O224" s="194" t="n"/>
      <c r="P224" s="194" t="n"/>
      <c r="Q224" s="199" t="n"/>
    </row>
    <row r="225" ht="12" customHeight="1" s="1">
      <c r="A225" s="194" t="n"/>
      <c r="B225" s="194" t="n"/>
      <c r="C225" s="126" t="n"/>
      <c r="D225" s="126" t="n"/>
      <c r="E225" s="126" t="n"/>
      <c r="F225" s="126" t="n"/>
      <c r="G225" s="126" t="n"/>
      <c r="H225" s="126" t="n"/>
      <c r="I225" s="126" t="n"/>
      <c r="J225" s="126" t="n"/>
      <c r="K225" s="126" t="n"/>
      <c r="L225" s="127" t="n"/>
      <c r="M225" s="126" t="n"/>
      <c r="N225" s="194" t="n"/>
      <c r="O225" s="194" t="n"/>
      <c r="P225" s="194" t="n"/>
      <c r="Q225" s="199" t="n"/>
    </row>
    <row r="226" ht="12" customHeight="1" s="1">
      <c r="A226" s="194" t="n"/>
      <c r="B226" s="194" t="n"/>
      <c r="C226" s="126" t="n"/>
      <c r="D226" s="126" t="n"/>
      <c r="E226" s="126" t="n"/>
      <c r="F226" s="126" t="n"/>
      <c r="G226" s="126" t="n"/>
      <c r="H226" s="126" t="n"/>
      <c r="I226" s="126" t="n"/>
      <c r="J226" s="126" t="n"/>
      <c r="K226" s="126" t="n"/>
      <c r="L226" s="127" t="n"/>
      <c r="M226" s="126" t="n"/>
      <c r="N226" s="194" t="n"/>
      <c r="O226" s="194" t="n"/>
      <c r="P226" s="194" t="n"/>
      <c r="Q226" s="199" t="n"/>
    </row>
    <row r="227" ht="12" customHeight="1" s="1">
      <c r="A227" s="194" t="n"/>
      <c r="B227" s="194" t="n"/>
      <c r="C227" s="126" t="n"/>
      <c r="D227" s="126" t="n"/>
      <c r="E227" s="126" t="n"/>
      <c r="F227" s="126" t="n"/>
      <c r="G227" s="126" t="n"/>
      <c r="H227" s="126" t="n"/>
      <c r="I227" s="126" t="n"/>
      <c r="J227" s="126" t="n"/>
      <c r="K227" s="126" t="n"/>
      <c r="L227" s="127" t="n"/>
      <c r="M227" s="126" t="n"/>
      <c r="N227" s="194" t="n"/>
      <c r="O227" s="194" t="n"/>
      <c r="P227" s="194" t="n"/>
      <c r="Q227" s="199" t="n"/>
    </row>
    <row r="228" ht="12" customHeight="1" s="1">
      <c r="A228" s="194" t="n"/>
      <c r="B228" s="194" t="n"/>
      <c r="C228" s="126" t="n"/>
      <c r="D228" s="126" t="n"/>
      <c r="E228" s="126" t="n"/>
      <c r="F228" s="126" t="n"/>
      <c r="G228" s="126" t="n"/>
      <c r="H228" s="126" t="n"/>
      <c r="I228" s="126" t="n"/>
      <c r="J228" s="126" t="n"/>
      <c r="K228" s="126" t="n"/>
      <c r="L228" s="127" t="n"/>
      <c r="M228" s="126" t="n"/>
      <c r="N228" s="194" t="n"/>
      <c r="O228" s="194" t="n"/>
      <c r="P228" s="194" t="n"/>
      <c r="Q228" s="199" t="n"/>
    </row>
    <row r="229" ht="12" customHeight="1" s="1">
      <c r="A229" s="194" t="n"/>
      <c r="B229" s="194" t="n"/>
      <c r="C229" s="126" t="n"/>
      <c r="D229" s="126" t="n"/>
      <c r="E229" s="126" t="n"/>
      <c r="F229" s="126" t="n"/>
      <c r="G229" s="126" t="n"/>
      <c r="H229" s="126" t="n"/>
      <c r="I229" s="126" t="n"/>
      <c r="J229" s="126" t="n"/>
      <c r="K229" s="126" t="n"/>
      <c r="L229" s="127" t="n"/>
      <c r="M229" s="126" t="n"/>
      <c r="N229" s="194" t="n"/>
      <c r="O229" s="194" t="n"/>
      <c r="P229" s="194" t="n"/>
      <c r="Q229" s="199" t="n"/>
    </row>
    <row r="230" ht="12" customHeight="1" s="1">
      <c r="A230" s="194" t="n"/>
      <c r="B230" s="194" t="n"/>
      <c r="C230" s="126" t="n"/>
      <c r="D230" s="126" t="n"/>
      <c r="E230" s="126" t="n"/>
      <c r="F230" s="126" t="n"/>
      <c r="G230" s="126" t="n"/>
      <c r="H230" s="126" t="n"/>
      <c r="I230" s="126" t="n"/>
      <c r="J230" s="126" t="n"/>
      <c r="K230" s="126" t="n"/>
      <c r="L230" s="127" t="n"/>
      <c r="M230" s="126" t="n"/>
      <c r="N230" s="194" t="n"/>
      <c r="O230" s="194" t="n"/>
      <c r="P230" s="194" t="n"/>
      <c r="Q230" s="199" t="n"/>
    </row>
    <row r="231" ht="12" customHeight="1" s="1">
      <c r="A231" s="194" t="n"/>
      <c r="B231" s="194" t="n"/>
      <c r="C231" s="126" t="n"/>
      <c r="D231" s="126" t="n"/>
      <c r="E231" s="126" t="n"/>
      <c r="F231" s="126" t="n"/>
      <c r="G231" s="126" t="n"/>
      <c r="H231" s="126" t="n"/>
      <c r="I231" s="126" t="n"/>
      <c r="J231" s="126" t="n"/>
      <c r="K231" s="126" t="n"/>
      <c r="L231" s="127" t="n"/>
      <c r="M231" s="126" t="n"/>
      <c r="N231" s="194" t="n"/>
      <c r="O231" s="194" t="n"/>
      <c r="P231" s="194" t="n"/>
      <c r="Q231" s="199" t="n"/>
    </row>
    <row r="232" ht="12" customHeight="1" s="1">
      <c r="A232" s="194" t="n"/>
      <c r="B232" s="194" t="n"/>
      <c r="C232" s="126" t="n"/>
      <c r="D232" s="126" t="n"/>
      <c r="E232" s="126" t="n"/>
      <c r="F232" s="126" t="n"/>
      <c r="G232" s="126" t="n"/>
      <c r="H232" s="126" t="n"/>
      <c r="I232" s="126" t="n"/>
      <c r="J232" s="126" t="n"/>
      <c r="K232" s="126" t="n"/>
      <c r="L232" s="127" t="n"/>
      <c r="M232" s="126" t="n"/>
      <c r="N232" s="194" t="n"/>
      <c r="O232" s="194" t="n"/>
      <c r="P232" s="194" t="n"/>
      <c r="Q232" s="199" t="n"/>
    </row>
    <row r="233" ht="12" customHeight="1" s="1">
      <c r="A233" s="194" t="n"/>
      <c r="B233" s="194" t="n"/>
      <c r="C233" s="126" t="n"/>
      <c r="D233" s="126" t="n"/>
      <c r="E233" s="126" t="n"/>
      <c r="F233" s="126" t="n"/>
      <c r="G233" s="126" t="n"/>
      <c r="H233" s="126" t="n"/>
      <c r="I233" s="126" t="n"/>
      <c r="J233" s="126" t="n"/>
      <c r="K233" s="126" t="n"/>
      <c r="L233" s="127" t="n"/>
      <c r="M233" s="126" t="n"/>
      <c r="N233" s="194" t="n"/>
      <c r="O233" s="194" t="n"/>
      <c r="P233" s="194" t="n"/>
      <c r="Q233" s="199" t="n"/>
    </row>
    <row r="234" ht="12" customHeight="1" s="1">
      <c r="A234" s="194" t="n"/>
      <c r="B234" s="194" t="n"/>
      <c r="C234" s="126" t="n"/>
      <c r="D234" s="126" t="n"/>
      <c r="E234" s="126" t="n"/>
      <c r="F234" s="126" t="n"/>
      <c r="G234" s="126" t="n"/>
      <c r="H234" s="126" t="n"/>
      <c r="I234" s="126" t="n"/>
      <c r="J234" s="126" t="n"/>
      <c r="K234" s="126" t="n"/>
      <c r="L234" s="127" t="n"/>
      <c r="M234" s="126" t="n"/>
      <c r="N234" s="194" t="n"/>
      <c r="O234" s="194" t="n"/>
      <c r="P234" s="194" t="n"/>
      <c r="Q234" s="199" t="n"/>
    </row>
    <row r="235" ht="12" customHeight="1" s="1">
      <c r="A235" s="194" t="n"/>
      <c r="B235" s="194" t="n"/>
      <c r="C235" s="126" t="n"/>
      <c r="D235" s="126" t="n"/>
      <c r="E235" s="126" t="n"/>
      <c r="F235" s="126" t="n"/>
      <c r="G235" s="126" t="n"/>
      <c r="H235" s="126" t="n"/>
      <c r="I235" s="126" t="n"/>
      <c r="J235" s="126" t="n"/>
      <c r="K235" s="126" t="n"/>
      <c r="L235" s="127" t="n"/>
      <c r="M235" s="126" t="n"/>
      <c r="N235" s="194" t="n"/>
      <c r="O235" s="194" t="n"/>
      <c r="P235" s="194" t="n"/>
      <c r="Q235" s="199" t="n"/>
    </row>
    <row r="236" ht="12" customHeight="1" s="1">
      <c r="A236" s="194" t="n"/>
      <c r="B236" s="194" t="n"/>
      <c r="C236" s="126" t="n"/>
      <c r="D236" s="126" t="n"/>
      <c r="E236" s="126" t="n"/>
      <c r="F236" s="126" t="n"/>
      <c r="G236" s="126" t="n"/>
      <c r="H236" s="126" t="n"/>
      <c r="I236" s="126" t="n"/>
      <c r="J236" s="126" t="n"/>
      <c r="K236" s="126" t="n"/>
      <c r="L236" s="127" t="n"/>
      <c r="M236" s="126" t="n"/>
      <c r="N236" s="194" t="n"/>
      <c r="O236" s="194" t="n"/>
      <c r="P236" s="194" t="n"/>
      <c r="Q236" s="199" t="n"/>
    </row>
    <row r="237" ht="12" customHeight="1" s="1">
      <c r="A237" s="194" t="n"/>
      <c r="B237" s="194" t="n"/>
      <c r="C237" s="126" t="n"/>
      <c r="D237" s="126" t="n"/>
      <c r="E237" s="126" t="n"/>
      <c r="F237" s="126" t="n"/>
      <c r="G237" s="126" t="n"/>
      <c r="H237" s="126" t="n"/>
      <c r="I237" s="126" t="n"/>
      <c r="J237" s="126" t="n"/>
      <c r="K237" s="126" t="n"/>
      <c r="L237" s="127" t="n"/>
      <c r="M237" s="126" t="n"/>
      <c r="N237" s="194" t="n"/>
      <c r="O237" s="194" t="n"/>
      <c r="P237" s="194" t="n"/>
      <c r="Q237" s="199" t="n"/>
    </row>
    <row r="238" ht="12" customHeight="1" s="1">
      <c r="A238" s="194" t="n"/>
      <c r="B238" s="194" t="n"/>
      <c r="C238" s="126" t="n"/>
      <c r="D238" s="126" t="n"/>
      <c r="E238" s="126" t="n"/>
      <c r="F238" s="126" t="n"/>
      <c r="G238" s="126" t="n"/>
      <c r="H238" s="126" t="n"/>
      <c r="I238" s="126" t="n"/>
      <c r="J238" s="126" t="n"/>
      <c r="K238" s="126" t="n"/>
      <c r="L238" s="127" t="n"/>
      <c r="M238" s="126" t="n"/>
      <c r="N238" s="194" t="n"/>
      <c r="O238" s="194" t="n"/>
      <c r="P238" s="194" t="n"/>
      <c r="Q238" s="114" t="n"/>
    </row>
  </sheetData>
  <mergeCells count="1">
    <mergeCell ref="A29:K29"/>
  </mergeCells>
  <pageMargins left="0.7" right="0.7" top="0.75" bottom="0.75" header="0" footer="0"/>
  <pageSetup orientation="landscape" scale="54"/>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R83"/>
  <sheetViews>
    <sheetView tabSelected="1" workbookViewId="0">
      <selection activeCell="G11" sqref="G11"/>
    </sheetView>
  </sheetViews>
  <sheetFormatPr baseColWidth="8" defaultRowHeight="13.2"/>
  <cols>
    <col width="6" customWidth="1" style="1" min="1" max="1"/>
    <col width="20" customWidth="1" style="1" min="2" max="2"/>
    <col width="40" customWidth="1" style="1" min="3" max="3"/>
    <col width="6" customWidth="1" style="1" min="4" max="19"/>
  </cols>
  <sheetData>
    <row r="1">
      <c r="A1" s="249" t="inlineStr">
        <is>
          <t>CLAT-&gt;</t>
        </is>
      </c>
      <c r="B1" s="275" t="n"/>
      <c r="C1" s="276" t="n"/>
      <c r="D1" s="249" t="inlineStr">
        <is>
          <t>FT-I</t>
        </is>
      </c>
      <c r="E1" s="275" t="n"/>
      <c r="F1" s="275" t="n"/>
      <c r="G1" s="276" t="n"/>
      <c r="H1" s="249" t="n"/>
      <c r="I1" s="249" t="n"/>
      <c r="J1" s="249" t="n"/>
      <c r="K1" s="249" t="n"/>
      <c r="L1" s="249" t="n"/>
      <c r="M1" s="249" t="n"/>
      <c r="N1" s="249" t="n"/>
      <c r="O1" s="249" t="n"/>
      <c r="P1" s="249" t="n"/>
      <c r="Q1" s="249" t="n"/>
      <c r="R1" s="249" t="n"/>
    </row>
    <row r="2">
      <c r="A2" s="246" t="inlineStr">
        <is>
          <t>CO -&gt;</t>
        </is>
      </c>
      <c r="B2" s="275" t="n"/>
      <c r="C2" s="276" t="n"/>
      <c r="D2" s="246" t="inlineStr">
        <is>
          <t>CO3</t>
        </is>
      </c>
      <c r="E2" s="275" t="n"/>
      <c r="F2" s="275" t="n"/>
      <c r="G2" s="276" t="n"/>
      <c r="H2" s="246" t="n"/>
      <c r="I2" s="246" t="n"/>
      <c r="J2" s="246" t="n"/>
      <c r="K2" s="246" t="n"/>
      <c r="L2" s="246" t="n"/>
      <c r="M2" s="246" t="n"/>
      <c r="N2" s="246" t="n"/>
      <c r="O2" s="246" t="n"/>
      <c r="P2" s="246" t="n"/>
      <c r="Q2" s="246" t="n"/>
      <c r="R2" s="246" t="n"/>
    </row>
    <row r="3">
      <c r="A3" s="241" t="n"/>
      <c r="B3" s="275" t="n"/>
      <c r="C3" s="276" t="n"/>
      <c r="D3" s="241" t="inlineStr">
        <is>
          <t>THEORY (for either/or Q, award marks for the attempted students only)</t>
        </is>
      </c>
      <c r="E3" s="275" t="n"/>
      <c r="F3" s="275" t="n"/>
      <c r="G3" s="276" t="n"/>
      <c r="H3" s="241" t="n"/>
      <c r="I3" s="241" t="n"/>
      <c r="J3" s="241" t="n"/>
      <c r="K3" s="241" t="n"/>
      <c r="L3" s="241" t="n"/>
      <c r="M3" s="241" t="n"/>
      <c r="N3" s="241" t="n"/>
      <c r="O3" s="241" t="n"/>
      <c r="P3" s="241" t="n"/>
      <c r="Q3" s="241" t="n"/>
      <c r="R3" s="241" t="n"/>
    </row>
    <row r="4">
      <c r="A4" s="250" t="inlineStr">
        <is>
          <t>MAX. MARKS (If not applicable, leave BLANK)-&gt;</t>
        </is>
      </c>
      <c r="B4" s="275" t="n"/>
      <c r="C4" s="276" t="n"/>
      <c r="D4" s="250" t="n">
        <v>20</v>
      </c>
      <c r="E4" s="250" t="n">
        <v>20</v>
      </c>
      <c r="F4" s="250" t="n">
        <v>20</v>
      </c>
      <c r="G4" s="250" t="n">
        <v>20</v>
      </c>
      <c r="H4" s="250" t="n"/>
      <c r="I4" s="250" t="n"/>
      <c r="J4" s="250" t="n"/>
      <c r="K4" s="250" t="n"/>
      <c r="L4" s="250" t="n"/>
      <c r="M4" s="250" t="n"/>
      <c r="N4" s="250" t="n"/>
      <c r="O4" s="250" t="n"/>
      <c r="P4" s="250" t="n"/>
      <c r="Q4" s="250" t="n"/>
      <c r="R4" s="250" t="n"/>
    </row>
    <row r="5">
      <c r="A5" s="241" t="n"/>
      <c r="B5" s="275" t="n"/>
      <c r="C5" s="276" t="n"/>
      <c r="D5" s="245" t="inlineStr">
        <is>
          <t>Question numbers mapping</t>
        </is>
      </c>
      <c r="E5" s="275" t="n"/>
      <c r="F5" s="275" t="n"/>
      <c r="G5" s="276" t="n"/>
      <c r="H5" s="245" t="n"/>
      <c r="I5" s="245" t="n"/>
      <c r="J5" s="245" t="n"/>
      <c r="K5" s="245" t="n"/>
      <c r="L5" s="245" t="n"/>
      <c r="M5" s="245" t="n"/>
      <c r="N5" s="245" t="n"/>
      <c r="O5" s="245" t="n"/>
      <c r="P5" s="245" t="n"/>
      <c r="Q5" s="245" t="n"/>
      <c r="R5" s="245" t="n"/>
    </row>
    <row r="6">
      <c r="A6" s="241" t="inlineStr">
        <is>
          <t>Sl.No</t>
        </is>
      </c>
      <c r="B6" s="241" t="inlineStr">
        <is>
          <t>Register Number</t>
        </is>
      </c>
      <c r="C6" s="244" t="inlineStr">
        <is>
          <t>Student Name</t>
        </is>
      </c>
      <c r="D6" s="241" t="inlineStr">
        <is>
          <t>Q1</t>
        </is>
      </c>
      <c r="E6" s="241" t="inlineStr">
        <is>
          <t>Q2</t>
        </is>
      </c>
      <c r="F6" s="241" t="inlineStr">
        <is>
          <t>Q3</t>
        </is>
      </c>
      <c r="G6" s="241" t="inlineStr">
        <is>
          <t>Q4</t>
        </is>
      </c>
      <c r="H6" s="241" t="n"/>
      <c r="I6" s="241" t="n"/>
      <c r="J6" s="241" t="n"/>
      <c r="K6" s="241" t="n"/>
      <c r="L6" s="241" t="n"/>
      <c r="M6" s="241" t="n"/>
      <c r="N6" s="241" t="n"/>
      <c r="O6" s="241" t="n"/>
      <c r="P6" s="241" t="n"/>
      <c r="Q6" s="241" t="n"/>
      <c r="R6" s="241" t="n"/>
    </row>
    <row r="7">
      <c r="A7" s="242" t="n">
        <v>1</v>
      </c>
      <c r="B7" s="242" t="inlineStr">
        <is>
          <t>RA2412005040001</t>
        </is>
      </c>
      <c r="C7" s="209" t="inlineStr">
        <is>
          <t>Mani</t>
        </is>
      </c>
      <c r="D7" s="242" t="n">
        <v>18</v>
      </c>
      <c r="E7" s="242" t="n">
        <v>13</v>
      </c>
      <c r="F7" s="242" t="n">
        <v>15</v>
      </c>
      <c r="G7" s="242" t="n">
        <v>20</v>
      </c>
      <c r="H7" s="242" t="n"/>
      <c r="I7" s="242" t="n"/>
      <c r="J7" s="242" t="n"/>
      <c r="K7" s="242" t="n"/>
      <c r="L7" s="242" t="n"/>
      <c r="M7" s="242" t="n"/>
      <c r="N7" s="242" t="n"/>
      <c r="O7" s="242" t="n"/>
      <c r="P7" s="242" t="n"/>
      <c r="Q7" s="242" t="n"/>
      <c r="R7" s="242" t="n"/>
    </row>
    <row r="8">
      <c r="A8" s="242" t="n">
        <v>2</v>
      </c>
      <c r="B8" s="242" t="inlineStr">
        <is>
          <t>RA2412005040002</t>
        </is>
      </c>
      <c r="C8" s="209" t="inlineStr">
        <is>
          <t>Shankar</t>
        </is>
      </c>
      <c r="D8" s="242" t="n">
        <v>20</v>
      </c>
      <c r="E8" s="242" t="n">
        <v>19</v>
      </c>
      <c r="F8" s="242" t="n">
        <v>17</v>
      </c>
      <c r="G8" s="242" t="n">
        <v>14</v>
      </c>
      <c r="H8" s="242" t="n"/>
      <c r="I8" s="242" t="n"/>
      <c r="J8" s="242" t="n"/>
      <c r="K8" s="242" t="n"/>
      <c r="L8" s="242" t="n"/>
      <c r="M8" s="242" t="n"/>
      <c r="N8" s="242" t="n"/>
      <c r="O8" s="242" t="n"/>
      <c r="P8" s="242" t="n"/>
      <c r="Q8" s="242" t="n"/>
      <c r="R8" s="242" t="n"/>
    </row>
    <row r="9">
      <c r="A9" s="242" t="n">
        <v>3</v>
      </c>
      <c r="B9" s="242" t="inlineStr">
        <is>
          <t>RA2412005040003</t>
        </is>
      </c>
      <c r="C9" s="209" t="inlineStr">
        <is>
          <t>Arjun</t>
        </is>
      </c>
      <c r="D9" s="242" t="n">
        <v>20</v>
      </c>
      <c r="E9" s="242" t="n">
        <v>16</v>
      </c>
      <c r="F9" s="242" t="n">
        <v>17</v>
      </c>
      <c r="G9" s="242" t="n">
        <v>18</v>
      </c>
      <c r="H9" s="242" t="n"/>
      <c r="I9" s="242" t="n"/>
      <c r="J9" s="242" t="n"/>
      <c r="K9" s="242" t="n"/>
      <c r="L9" s="242" t="n"/>
      <c r="M9" s="242" t="n"/>
      <c r="N9" s="242" t="n"/>
      <c r="O9" s="242" t="n"/>
      <c r="P9" s="242" t="n"/>
      <c r="Q9" s="242" t="n"/>
      <c r="R9" s="242" t="n"/>
    </row>
    <row r="10">
      <c r="A10" s="242" t="n">
        <v>4</v>
      </c>
      <c r="B10" s="242" t="inlineStr">
        <is>
          <t>RA2412005040004</t>
        </is>
      </c>
      <c r="C10" s="209" t="inlineStr">
        <is>
          <t>Jai</t>
        </is>
      </c>
      <c r="D10" s="242" t="n">
        <v>16</v>
      </c>
      <c r="E10" s="242" t="n">
        <v>14</v>
      </c>
      <c r="F10" s="242" t="n">
        <v>12</v>
      </c>
      <c r="G10" s="242" t="n">
        <v>17</v>
      </c>
      <c r="H10" s="242" t="n"/>
      <c r="I10" s="242" t="n"/>
      <c r="J10" s="242" t="n"/>
      <c r="K10" s="242" t="n"/>
      <c r="L10" s="242" t="n"/>
      <c r="M10" s="242" t="n"/>
      <c r="N10" s="242" t="n"/>
      <c r="O10" s="242" t="n"/>
      <c r="P10" s="242" t="n"/>
      <c r="Q10" s="242" t="n"/>
      <c r="R10" s="242" t="n"/>
    </row>
    <row r="11">
      <c r="A11" s="242" t="n">
        <v>5</v>
      </c>
      <c r="B11" s="242" t="inlineStr">
        <is>
          <t>RA2412005040005</t>
        </is>
      </c>
      <c r="C11" s="209" t="inlineStr">
        <is>
          <t>Radhi</t>
        </is>
      </c>
      <c r="D11" s="242" t="n">
        <v>13</v>
      </c>
      <c r="E11" s="242" t="n">
        <v>10</v>
      </c>
      <c r="F11" s="242" t="n">
        <v>4</v>
      </c>
      <c r="G11" s="242" t="n">
        <v>16</v>
      </c>
      <c r="H11" s="242" t="n"/>
      <c r="I11" s="242" t="n"/>
      <c r="J11" s="242" t="n"/>
      <c r="K11" s="242" t="n"/>
      <c r="L11" s="242" t="n"/>
      <c r="M11" s="242" t="n"/>
      <c r="N11" s="242" t="n"/>
      <c r="O11" s="242" t="n"/>
      <c r="P11" s="242" t="n"/>
      <c r="Q11" s="242" t="n"/>
      <c r="R11" s="242" t="n"/>
    </row>
    <row r="12">
      <c r="A12" s="242" t="n">
        <v>6</v>
      </c>
      <c r="B12" s="242" t="inlineStr">
        <is>
          <t>RA2412005040006</t>
        </is>
      </c>
      <c r="C12" s="209" t="inlineStr">
        <is>
          <t>Rithvik</t>
        </is>
      </c>
      <c r="D12" s="242" t="n">
        <v>16</v>
      </c>
      <c r="E12" s="242" t="n">
        <v>15</v>
      </c>
      <c r="F12" s="242" t="n">
        <v>6</v>
      </c>
      <c r="G12" s="242" t="n">
        <v>18</v>
      </c>
      <c r="H12" s="242" t="n"/>
      <c r="I12" s="242" t="n"/>
      <c r="J12" s="242" t="n"/>
      <c r="K12" s="242" t="n"/>
      <c r="L12" s="242" t="n"/>
      <c r="M12" s="242" t="n"/>
      <c r="N12" s="242" t="n"/>
      <c r="O12" s="242" t="n"/>
      <c r="P12" s="242" t="n"/>
      <c r="Q12" s="242" t="n"/>
      <c r="R12" s="242" t="n"/>
    </row>
    <row r="13">
      <c r="A13" s="242" t="n">
        <v>7</v>
      </c>
      <c r="B13" s="242" t="inlineStr">
        <is>
          <t>RA2412005040007</t>
        </is>
      </c>
      <c r="C13" s="209" t="inlineStr">
        <is>
          <t>Ganesh</t>
        </is>
      </c>
      <c r="D13" s="242" t="n">
        <v>13</v>
      </c>
      <c r="E13" s="242" t="n">
        <v>18</v>
      </c>
      <c r="F13" s="242" t="n">
        <v>7</v>
      </c>
      <c r="G13" s="242" t="n">
        <v>18</v>
      </c>
      <c r="H13" s="242" t="n"/>
      <c r="I13" s="242" t="n"/>
      <c r="J13" s="242" t="n"/>
      <c r="K13" s="242" t="n"/>
      <c r="L13" s="242" t="n"/>
      <c r="M13" s="242" t="n"/>
      <c r="N13" s="242" t="n"/>
      <c r="O13" s="242" t="n"/>
      <c r="P13" s="242" t="n"/>
      <c r="Q13" s="242" t="n"/>
      <c r="R13" s="242" t="n"/>
    </row>
    <row r="14">
      <c r="A14" s="242" t="n">
        <v>8</v>
      </c>
      <c r="B14" s="242" t="inlineStr">
        <is>
          <t>RA2412005040008</t>
        </is>
      </c>
      <c r="C14" s="209" t="inlineStr">
        <is>
          <t>Puja</t>
        </is>
      </c>
      <c r="D14" s="242" t="n">
        <v>15</v>
      </c>
      <c r="E14" s="242" t="n">
        <v>17</v>
      </c>
      <c r="F14" s="242" t="n">
        <v>12</v>
      </c>
      <c r="G14" s="242" t="n">
        <v>17</v>
      </c>
      <c r="H14" s="242" t="n"/>
      <c r="I14" s="242" t="n"/>
      <c r="J14" s="242" t="n"/>
      <c r="K14" s="242" t="n"/>
      <c r="L14" s="242" t="n"/>
      <c r="M14" s="242" t="n"/>
      <c r="N14" s="242" t="n"/>
      <c r="O14" s="242" t="n"/>
      <c r="P14" s="242" t="n"/>
      <c r="Q14" s="242" t="n"/>
      <c r="R14" s="242" t="n"/>
    </row>
    <row r="15">
      <c r="A15" s="242" t="n">
        <v>9</v>
      </c>
      <c r="B15" s="242" t="inlineStr">
        <is>
          <t>RA2412005040009</t>
        </is>
      </c>
      <c r="C15" s="209" t="inlineStr">
        <is>
          <t>Mohan</t>
        </is>
      </c>
      <c r="D15" s="242" t="n">
        <v>17</v>
      </c>
      <c r="E15" s="242" t="n">
        <v>16</v>
      </c>
      <c r="F15" s="242" t="n">
        <v>14</v>
      </c>
      <c r="G15" s="242" t="n">
        <v>16</v>
      </c>
      <c r="H15" s="242" t="n"/>
      <c r="I15" s="242" t="n"/>
      <c r="J15" s="242" t="n"/>
      <c r="K15" s="242" t="n"/>
      <c r="L15" s="242" t="n"/>
      <c r="M15" s="242" t="n"/>
      <c r="N15" s="242" t="n"/>
      <c r="O15" s="242" t="n"/>
      <c r="P15" s="242" t="n"/>
      <c r="Q15" s="242" t="n"/>
      <c r="R15" s="242" t="n"/>
    </row>
    <row r="16">
      <c r="A16" s="242" t="n">
        <v>10</v>
      </c>
      <c r="B16" s="242" t="inlineStr">
        <is>
          <t>RA2412005040010</t>
        </is>
      </c>
      <c r="C16" s="209" t="inlineStr">
        <is>
          <t>Lewyn</t>
        </is>
      </c>
      <c r="D16" s="242" t="n">
        <v>8</v>
      </c>
      <c r="E16" s="242" t="n">
        <v>12</v>
      </c>
      <c r="F16" s="242" t="n">
        <v>17</v>
      </c>
      <c r="G16" s="242" t="n">
        <v>14</v>
      </c>
      <c r="H16" s="242" t="n"/>
      <c r="I16" s="242" t="n"/>
      <c r="J16" s="242" t="n"/>
      <c r="K16" s="242" t="n"/>
      <c r="L16" s="242" t="n"/>
      <c r="M16" s="242" t="n"/>
      <c r="N16" s="242" t="n"/>
      <c r="O16" s="242" t="n"/>
      <c r="P16" s="242" t="n"/>
      <c r="Q16" s="242" t="n"/>
      <c r="R16" s="242" t="n"/>
    </row>
    <row r="17">
      <c r="A17" s="242" t="n">
        <v>11</v>
      </c>
      <c r="B17" s="242" t="inlineStr">
        <is>
          <t>RA2412005040011</t>
        </is>
      </c>
      <c r="C17" s="209" t="inlineStr">
        <is>
          <t>Durga</t>
        </is>
      </c>
      <c r="D17" s="242" t="n">
        <v>9</v>
      </c>
      <c r="E17" s="242" t="n">
        <v>13</v>
      </c>
      <c r="F17" s="242" t="n">
        <v>9</v>
      </c>
      <c r="G17" s="242" t="n">
        <v>12</v>
      </c>
      <c r="H17" s="242" t="n"/>
      <c r="I17" s="242" t="n"/>
      <c r="J17" s="242" t="n"/>
      <c r="K17" s="242" t="n"/>
      <c r="L17" s="242" t="n"/>
      <c r="M17" s="242" t="n"/>
      <c r="N17" s="242" t="n"/>
      <c r="O17" s="242" t="n"/>
      <c r="P17" s="242" t="n"/>
      <c r="Q17" s="242" t="n"/>
      <c r="R17" s="242" t="n"/>
    </row>
    <row r="18">
      <c r="A18" s="242" t="n">
        <v>12</v>
      </c>
      <c r="B18" s="242" t="inlineStr">
        <is>
          <t>RA2412005040012</t>
        </is>
      </c>
      <c r="C18" s="209" t="inlineStr">
        <is>
          <t>Parvathi</t>
        </is>
      </c>
      <c r="D18" s="242" t="n">
        <v>16</v>
      </c>
      <c r="E18" s="242" t="n">
        <v>14</v>
      </c>
      <c r="F18" s="242" t="n">
        <v>10</v>
      </c>
      <c r="G18" s="242" t="n">
        <v>13</v>
      </c>
      <c r="H18" s="242" t="n"/>
      <c r="I18" s="242" t="n"/>
      <c r="J18" s="242" t="n"/>
      <c r="K18" s="242" t="n"/>
      <c r="L18" s="242" t="n"/>
      <c r="M18" s="242" t="n"/>
      <c r="N18" s="242" t="n"/>
      <c r="O18" s="242" t="n"/>
      <c r="P18" s="242" t="n"/>
      <c r="Q18" s="242" t="n"/>
      <c r="R18" s="242" t="n"/>
    </row>
    <row r="19">
      <c r="A19" s="242" t="n"/>
      <c r="B19" s="242" t="n"/>
      <c r="C19" s="209" t="n"/>
      <c r="D19" s="242" t="n"/>
      <c r="E19" s="242" t="n"/>
      <c r="F19" s="242" t="n"/>
      <c r="G19" s="242" t="n"/>
      <c r="H19" s="242" t="n"/>
      <c r="I19" s="242" t="n"/>
      <c r="J19" s="242" t="n"/>
      <c r="K19" s="242" t="n"/>
      <c r="L19" s="242" t="n"/>
      <c r="M19" s="242" t="n"/>
      <c r="N19" s="242" t="n"/>
      <c r="O19" s="242" t="n"/>
      <c r="P19" s="242" t="n"/>
      <c r="Q19" s="242" t="n"/>
      <c r="R19" s="242" t="n"/>
    </row>
    <row r="20">
      <c r="A20" s="242" t="n"/>
      <c r="B20" s="242" t="n"/>
      <c r="C20" s="209" t="n"/>
      <c r="D20" s="242" t="n"/>
      <c r="E20" s="242" t="n"/>
      <c r="F20" s="242" t="n"/>
      <c r="G20" s="242" t="n"/>
      <c r="H20" s="242" t="n"/>
      <c r="I20" s="242" t="n"/>
      <c r="J20" s="242" t="n"/>
      <c r="K20" s="242" t="n"/>
      <c r="L20" s="242" t="n"/>
      <c r="M20" s="242" t="n"/>
      <c r="N20" s="242" t="n"/>
      <c r="O20" s="242" t="n"/>
      <c r="P20" s="242" t="n"/>
      <c r="Q20" s="242" t="n"/>
      <c r="R20" s="242" t="n"/>
    </row>
    <row r="21">
      <c r="A21" s="242" t="n"/>
      <c r="B21" s="242" t="n"/>
      <c r="C21" s="209" t="n"/>
      <c r="D21" s="242" t="n"/>
      <c r="E21" s="242" t="n"/>
      <c r="F21" s="242" t="n"/>
      <c r="G21" s="242" t="n"/>
      <c r="H21" s="242" t="n"/>
      <c r="I21" s="242" t="n"/>
      <c r="J21" s="242" t="n"/>
      <c r="K21" s="242" t="n"/>
      <c r="L21" s="242" t="n"/>
      <c r="M21" s="242" t="n"/>
      <c r="N21" s="242" t="n"/>
      <c r="O21" s="242" t="n"/>
      <c r="P21" s="242" t="n"/>
      <c r="Q21" s="242" t="n"/>
      <c r="R21" s="242" t="n"/>
    </row>
    <row r="22">
      <c r="A22" s="242" t="n"/>
      <c r="B22" s="242" t="n"/>
      <c r="C22" s="209" t="n"/>
      <c r="D22" s="242" t="n"/>
      <c r="E22" s="242" t="n"/>
      <c r="F22" s="242" t="n"/>
      <c r="G22" s="242" t="n"/>
      <c r="H22" s="242" t="n"/>
      <c r="I22" s="242" t="n"/>
      <c r="J22" s="242" t="n"/>
      <c r="K22" s="242" t="n"/>
      <c r="L22" s="242" t="n"/>
      <c r="M22" s="242" t="n"/>
      <c r="N22" s="242" t="n"/>
      <c r="O22" s="242" t="n"/>
      <c r="P22" s="242" t="n"/>
      <c r="Q22" s="242" t="n"/>
      <c r="R22" s="242" t="n"/>
    </row>
    <row r="23">
      <c r="A23" s="242" t="n"/>
      <c r="B23" s="242" t="n"/>
      <c r="C23" s="209" t="n"/>
      <c r="D23" s="242" t="n"/>
      <c r="E23" s="242" t="n"/>
      <c r="F23" s="242" t="n"/>
      <c r="G23" s="242" t="n"/>
      <c r="H23" s="242" t="n"/>
      <c r="I23" s="242" t="n"/>
      <c r="J23" s="242" t="n"/>
      <c r="K23" s="242" t="n"/>
      <c r="L23" s="242" t="n"/>
      <c r="M23" s="242" t="n"/>
      <c r="N23" s="242" t="n"/>
      <c r="O23" s="242" t="n"/>
      <c r="P23" s="242" t="n"/>
      <c r="Q23" s="242" t="n"/>
      <c r="R23" s="242" t="n"/>
    </row>
    <row r="24">
      <c r="A24" s="242" t="n"/>
      <c r="B24" s="242" t="n"/>
      <c r="C24" s="209" t="n"/>
      <c r="D24" s="242" t="n"/>
      <c r="E24" s="242" t="n"/>
      <c r="F24" s="242" t="n"/>
      <c r="G24" s="242" t="n"/>
      <c r="H24" s="242" t="n"/>
      <c r="I24" s="242" t="n"/>
      <c r="J24" s="242" t="n"/>
      <c r="K24" s="242" t="n"/>
      <c r="L24" s="242" t="n"/>
      <c r="M24" s="242" t="n"/>
      <c r="N24" s="242" t="n"/>
      <c r="O24" s="242" t="n"/>
      <c r="P24" s="242" t="n"/>
      <c r="Q24" s="242" t="n"/>
      <c r="R24" s="242" t="n"/>
    </row>
    <row r="25">
      <c r="A25" s="242" t="n"/>
      <c r="B25" s="242" t="n"/>
      <c r="C25" s="209" t="n"/>
      <c r="D25" s="242" t="n"/>
      <c r="E25" s="242" t="n"/>
      <c r="F25" s="242" t="n"/>
      <c r="G25" s="242" t="n"/>
      <c r="H25" s="242" t="n"/>
      <c r="I25" s="242" t="n"/>
      <c r="J25" s="242" t="n"/>
      <c r="K25" s="242" t="n"/>
      <c r="L25" s="242" t="n"/>
      <c r="M25" s="242" t="n"/>
      <c r="N25" s="242" t="n"/>
      <c r="O25" s="242" t="n"/>
      <c r="P25" s="242" t="n"/>
      <c r="Q25" s="242" t="n"/>
      <c r="R25" s="242" t="n"/>
    </row>
    <row r="26">
      <c r="A26" s="242" t="n"/>
      <c r="B26" s="242" t="n"/>
      <c r="C26" s="209" t="n"/>
      <c r="D26" s="242" t="n"/>
      <c r="E26" s="242" t="n"/>
      <c r="F26" s="242" t="n"/>
      <c r="G26" s="242" t="n"/>
      <c r="H26" s="242" t="n"/>
      <c r="I26" s="242" t="n"/>
      <c r="J26" s="242" t="n"/>
      <c r="K26" s="242" t="n"/>
      <c r="L26" s="242" t="n"/>
      <c r="M26" s="242" t="n"/>
      <c r="N26" s="242" t="n"/>
      <c r="O26" s="242" t="n"/>
      <c r="P26" s="242" t="n"/>
      <c r="Q26" s="242" t="n"/>
      <c r="R26" s="242" t="n"/>
    </row>
    <row r="27">
      <c r="A27" s="242" t="n"/>
      <c r="B27" s="242" t="n"/>
      <c r="C27" s="209" t="n"/>
      <c r="D27" s="242" t="n"/>
      <c r="E27" s="242" t="n"/>
      <c r="F27" s="242" t="n"/>
      <c r="G27" s="242" t="n"/>
      <c r="H27" s="242" t="n"/>
      <c r="I27" s="242" t="n"/>
      <c r="J27" s="242" t="n"/>
      <c r="K27" s="242" t="n"/>
      <c r="L27" s="242" t="n"/>
      <c r="M27" s="242" t="n"/>
      <c r="N27" s="242" t="n"/>
      <c r="O27" s="242" t="n"/>
      <c r="P27" s="242" t="n"/>
      <c r="Q27" s="242" t="n"/>
      <c r="R27" s="242" t="n"/>
    </row>
    <row r="28">
      <c r="A28" s="242" t="n"/>
      <c r="B28" s="242" t="n"/>
      <c r="C28" s="209" t="n"/>
      <c r="D28" s="242" t="n"/>
      <c r="E28" s="242" t="n"/>
      <c r="F28" s="242" t="n"/>
      <c r="G28" s="242" t="n"/>
      <c r="H28" s="242" t="n"/>
      <c r="I28" s="242" t="n"/>
      <c r="J28" s="242" t="n"/>
      <c r="K28" s="242" t="n"/>
      <c r="L28" s="242" t="n"/>
      <c r="M28" s="242" t="n"/>
      <c r="N28" s="242" t="n"/>
      <c r="O28" s="242" t="n"/>
      <c r="P28" s="242" t="n"/>
      <c r="Q28" s="242" t="n"/>
      <c r="R28" s="242" t="n"/>
    </row>
    <row r="29">
      <c r="A29" s="242" t="n"/>
      <c r="B29" s="242" t="n"/>
      <c r="C29" s="209" t="n"/>
      <c r="D29" s="242" t="n"/>
      <c r="E29" s="242" t="n"/>
      <c r="F29" s="242" t="n"/>
      <c r="G29" s="242" t="n"/>
      <c r="H29" s="242" t="n"/>
      <c r="I29" s="242" t="n"/>
      <c r="J29" s="242" t="n"/>
      <c r="K29" s="242" t="n"/>
      <c r="L29" s="242" t="n"/>
      <c r="M29" s="242" t="n"/>
      <c r="N29" s="242" t="n"/>
      <c r="O29" s="242" t="n"/>
      <c r="P29" s="242" t="n"/>
      <c r="Q29" s="242" t="n"/>
      <c r="R29" s="242" t="n"/>
    </row>
    <row r="30">
      <c r="A30" s="242" t="n"/>
      <c r="B30" s="242" t="n"/>
      <c r="C30" s="209" t="n"/>
      <c r="D30" s="242" t="n"/>
      <c r="E30" s="242" t="n"/>
      <c r="F30" s="242" t="n"/>
      <c r="G30" s="242" t="n"/>
      <c r="H30" s="242" t="n"/>
      <c r="I30" s="242" t="n"/>
      <c r="J30" s="242" t="n"/>
      <c r="K30" s="242" t="n"/>
      <c r="L30" s="242" t="n"/>
      <c r="M30" s="242" t="n"/>
      <c r="N30" s="242" t="n"/>
      <c r="O30" s="242" t="n"/>
      <c r="P30" s="242" t="n"/>
      <c r="Q30" s="242" t="n"/>
      <c r="R30" s="242" t="n"/>
    </row>
    <row r="31">
      <c r="A31" s="242" t="n"/>
      <c r="B31" s="242" t="n"/>
      <c r="C31" s="209" t="n"/>
      <c r="D31" s="242" t="n"/>
      <c r="E31" s="242" t="n"/>
      <c r="F31" s="242" t="n"/>
      <c r="G31" s="242" t="n"/>
      <c r="H31" s="242" t="n"/>
      <c r="I31" s="242" t="n"/>
      <c r="J31" s="242" t="n"/>
      <c r="K31" s="242" t="n"/>
      <c r="L31" s="242" t="n"/>
      <c r="M31" s="242" t="n"/>
      <c r="N31" s="242" t="n"/>
      <c r="O31" s="242" t="n"/>
      <c r="P31" s="242" t="n"/>
      <c r="Q31" s="242" t="n"/>
      <c r="R31" s="242" t="n"/>
    </row>
    <row r="32">
      <c r="A32" s="242" t="n"/>
      <c r="B32" s="242" t="n"/>
      <c r="C32" s="209" t="n"/>
      <c r="D32" s="242" t="n"/>
      <c r="E32" s="242" t="n"/>
      <c r="F32" s="242" t="n"/>
      <c r="G32" s="242" t="n"/>
      <c r="H32" s="242" t="n"/>
      <c r="I32" s="242" t="n"/>
      <c r="J32" s="242" t="n"/>
      <c r="K32" s="242" t="n"/>
      <c r="L32" s="242" t="n"/>
      <c r="M32" s="242" t="n"/>
      <c r="N32" s="242" t="n"/>
      <c r="O32" s="242" t="n"/>
      <c r="P32" s="242" t="n"/>
      <c r="Q32" s="242" t="n"/>
      <c r="R32" s="242" t="n"/>
    </row>
    <row r="33">
      <c r="A33" s="242" t="n"/>
      <c r="B33" s="242" t="n"/>
      <c r="C33" s="209" t="n"/>
      <c r="D33" s="242" t="n"/>
      <c r="E33" s="242" t="n"/>
      <c r="F33" s="242" t="n"/>
      <c r="G33" s="242" t="n"/>
      <c r="H33" s="242" t="n"/>
      <c r="I33" s="242" t="n"/>
      <c r="J33" s="242" t="n"/>
      <c r="K33" s="242" t="n"/>
      <c r="L33" s="242" t="n"/>
      <c r="M33" s="242" t="n"/>
      <c r="N33" s="242" t="n"/>
      <c r="O33" s="242" t="n"/>
      <c r="P33" s="242" t="n"/>
      <c r="Q33" s="242" t="n"/>
      <c r="R33" s="242" t="n"/>
    </row>
    <row r="34">
      <c r="A34" s="242" t="n"/>
      <c r="B34" s="242" t="n"/>
      <c r="C34" s="209" t="n"/>
      <c r="D34" s="242" t="n"/>
      <c r="E34" s="242" t="n"/>
      <c r="F34" s="242" t="n"/>
      <c r="G34" s="242" t="n"/>
      <c r="H34" s="242" t="n"/>
      <c r="I34" s="242" t="n"/>
      <c r="J34" s="242" t="n"/>
      <c r="K34" s="242" t="n"/>
      <c r="L34" s="242" t="n"/>
      <c r="M34" s="242" t="n"/>
      <c r="N34" s="242" t="n"/>
      <c r="O34" s="242" t="n"/>
      <c r="P34" s="242" t="n"/>
      <c r="Q34" s="242" t="n"/>
      <c r="R34" s="242" t="n"/>
    </row>
    <row r="35">
      <c r="A35" s="242" t="n"/>
      <c r="B35" s="242" t="n"/>
      <c r="C35" s="209" t="n"/>
      <c r="D35" s="242" t="n"/>
      <c r="E35" s="242" t="n"/>
      <c r="F35" s="242" t="n"/>
      <c r="G35" s="242" t="n"/>
      <c r="H35" s="242" t="n"/>
      <c r="I35" s="242" t="n"/>
      <c r="J35" s="242" t="n"/>
      <c r="K35" s="242" t="n"/>
      <c r="L35" s="242" t="n"/>
      <c r="M35" s="242" t="n"/>
      <c r="N35" s="242" t="n"/>
      <c r="O35" s="242" t="n"/>
      <c r="P35" s="242" t="n"/>
      <c r="Q35" s="242" t="n"/>
      <c r="R35" s="242" t="n"/>
    </row>
    <row r="36">
      <c r="A36" s="242" t="n"/>
      <c r="B36" s="242" t="n"/>
      <c r="C36" s="209" t="n"/>
      <c r="D36" s="242" t="n"/>
      <c r="E36" s="242" t="n"/>
      <c r="F36" s="242" t="n"/>
      <c r="G36" s="242" t="n"/>
      <c r="H36" s="242" t="n"/>
      <c r="I36" s="242" t="n"/>
      <c r="J36" s="242" t="n"/>
      <c r="K36" s="242" t="n"/>
      <c r="L36" s="242" t="n"/>
      <c r="M36" s="242" t="n"/>
      <c r="N36" s="242" t="n"/>
      <c r="O36" s="242" t="n"/>
      <c r="P36" s="242" t="n"/>
      <c r="Q36" s="242" t="n"/>
      <c r="R36" s="242" t="n"/>
    </row>
    <row r="37">
      <c r="A37" s="242" t="n"/>
      <c r="B37" s="242" t="n"/>
      <c r="C37" s="209" t="n"/>
      <c r="D37" s="242" t="n"/>
      <c r="E37" s="242" t="n"/>
      <c r="F37" s="242" t="n"/>
      <c r="G37" s="242" t="n"/>
      <c r="H37" s="242" t="n"/>
      <c r="I37" s="242" t="n"/>
      <c r="J37" s="242" t="n"/>
      <c r="K37" s="242" t="n"/>
      <c r="L37" s="242" t="n"/>
      <c r="M37" s="242" t="n"/>
      <c r="N37" s="242" t="n"/>
      <c r="O37" s="242" t="n"/>
      <c r="P37" s="242" t="n"/>
      <c r="Q37" s="242" t="n"/>
      <c r="R37" s="242" t="n"/>
    </row>
    <row r="38">
      <c r="A38" s="242" t="n"/>
      <c r="B38" s="242" t="n"/>
      <c r="C38" s="209" t="n"/>
      <c r="D38" s="242" t="n"/>
      <c r="E38" s="242" t="n"/>
      <c r="F38" s="242" t="n"/>
      <c r="G38" s="242" t="n"/>
      <c r="H38" s="242" t="n"/>
      <c r="I38" s="242" t="n"/>
      <c r="J38" s="242" t="n"/>
      <c r="K38" s="242" t="n"/>
      <c r="L38" s="242" t="n"/>
      <c r="M38" s="242" t="n"/>
      <c r="N38" s="242" t="n"/>
      <c r="O38" s="242" t="n"/>
      <c r="P38" s="242" t="n"/>
      <c r="Q38" s="242" t="n"/>
      <c r="R38" s="242" t="n"/>
    </row>
    <row r="39">
      <c r="A39" s="242" t="n"/>
      <c r="B39" s="242" t="n"/>
      <c r="C39" s="209" t="n"/>
      <c r="D39" s="242" t="n"/>
      <c r="E39" s="242" t="n"/>
      <c r="F39" s="242" t="n"/>
      <c r="G39" s="242" t="n"/>
      <c r="H39" s="242" t="n"/>
      <c r="I39" s="242" t="n"/>
      <c r="J39" s="242" t="n"/>
      <c r="K39" s="242" t="n"/>
      <c r="L39" s="242" t="n"/>
      <c r="M39" s="242" t="n"/>
      <c r="N39" s="242" t="n"/>
      <c r="O39" s="242" t="n"/>
      <c r="P39" s="242" t="n"/>
      <c r="Q39" s="242" t="n"/>
      <c r="R39" s="242" t="n"/>
    </row>
    <row r="40">
      <c r="A40" s="242" t="n"/>
      <c r="B40" s="242" t="n"/>
      <c r="C40" s="209" t="n"/>
      <c r="D40" s="242" t="n"/>
      <c r="E40" s="242" t="n"/>
      <c r="F40" s="242" t="n"/>
      <c r="G40" s="242" t="n"/>
      <c r="H40" s="242" t="n"/>
      <c r="I40" s="242" t="n"/>
      <c r="J40" s="242" t="n"/>
      <c r="K40" s="242" t="n"/>
      <c r="L40" s="242" t="n"/>
      <c r="M40" s="242" t="n"/>
      <c r="N40" s="242" t="n"/>
      <c r="O40" s="242" t="n"/>
      <c r="P40" s="242" t="n"/>
      <c r="Q40" s="242" t="n"/>
      <c r="R40" s="242" t="n"/>
    </row>
    <row r="41">
      <c r="A41" s="242" t="n"/>
      <c r="B41" s="242" t="n"/>
      <c r="C41" s="209" t="n"/>
      <c r="D41" s="242" t="n"/>
      <c r="E41" s="242" t="n"/>
      <c r="F41" s="242" t="n"/>
      <c r="G41" s="242" t="n"/>
      <c r="H41" s="242" t="n"/>
      <c r="I41" s="242" t="n"/>
      <c r="J41" s="242" t="n"/>
      <c r="K41" s="242" t="n"/>
      <c r="L41" s="242" t="n"/>
      <c r="M41" s="242" t="n"/>
      <c r="N41" s="242" t="n"/>
      <c r="O41" s="242" t="n"/>
      <c r="P41" s="242" t="n"/>
      <c r="Q41" s="242" t="n"/>
      <c r="R41" s="242" t="n"/>
    </row>
    <row r="42">
      <c r="A42" s="242" t="n"/>
      <c r="B42" s="242" t="n"/>
      <c r="C42" s="209" t="n"/>
      <c r="D42" s="242" t="n"/>
      <c r="E42" s="242" t="n"/>
      <c r="F42" s="242" t="n"/>
      <c r="G42" s="242" t="n"/>
      <c r="H42" s="242" t="n"/>
      <c r="I42" s="242" t="n"/>
      <c r="J42" s="242" t="n"/>
      <c r="K42" s="242" t="n"/>
      <c r="L42" s="242" t="n"/>
      <c r="M42" s="242" t="n"/>
      <c r="N42" s="242" t="n"/>
      <c r="O42" s="242" t="n"/>
      <c r="P42" s="242" t="n"/>
      <c r="Q42" s="242" t="n"/>
      <c r="R42" s="242" t="n"/>
    </row>
    <row r="43">
      <c r="A43" s="242" t="n"/>
      <c r="B43" s="242" t="n"/>
      <c r="C43" s="209" t="n"/>
      <c r="D43" s="242" t="n"/>
      <c r="E43" s="242" t="n"/>
      <c r="F43" s="242" t="n"/>
      <c r="G43" s="242" t="n"/>
      <c r="H43" s="242" t="n"/>
      <c r="I43" s="242" t="n"/>
      <c r="J43" s="242" t="n"/>
      <c r="K43" s="242" t="n"/>
      <c r="L43" s="242" t="n"/>
      <c r="M43" s="242" t="n"/>
      <c r="N43" s="242" t="n"/>
      <c r="O43" s="242" t="n"/>
      <c r="P43" s="242" t="n"/>
      <c r="Q43" s="242" t="n"/>
      <c r="R43" s="242" t="n"/>
    </row>
    <row r="44">
      <c r="A44" s="242" t="n"/>
      <c r="B44" s="242" t="n"/>
      <c r="C44" s="209" t="n"/>
      <c r="D44" s="242" t="n"/>
      <c r="E44" s="242" t="n"/>
      <c r="F44" s="242" t="n"/>
      <c r="G44" s="242" t="n"/>
      <c r="H44" s="242" t="n"/>
      <c r="I44" s="242" t="n"/>
      <c r="J44" s="242" t="n"/>
      <c r="K44" s="242" t="n"/>
      <c r="L44" s="242" t="n"/>
      <c r="M44" s="242" t="n"/>
      <c r="N44" s="242" t="n"/>
      <c r="O44" s="242" t="n"/>
      <c r="P44" s="242" t="n"/>
      <c r="Q44" s="242" t="n"/>
      <c r="R44" s="242" t="n"/>
    </row>
    <row r="45">
      <c r="A45" s="242" t="n"/>
      <c r="B45" s="242" t="n"/>
      <c r="C45" s="209" t="n"/>
      <c r="D45" s="242" t="n"/>
      <c r="E45" s="242" t="n"/>
      <c r="F45" s="242" t="n"/>
      <c r="G45" s="242" t="n"/>
      <c r="H45" s="242" t="n"/>
      <c r="I45" s="242" t="n"/>
      <c r="J45" s="242" t="n"/>
      <c r="K45" s="242" t="n"/>
      <c r="L45" s="242" t="n"/>
      <c r="M45" s="242" t="n"/>
      <c r="N45" s="242" t="n"/>
      <c r="O45" s="242" t="n"/>
      <c r="P45" s="242" t="n"/>
      <c r="Q45" s="242" t="n"/>
      <c r="R45" s="242" t="n"/>
    </row>
    <row r="46">
      <c r="A46" s="242" t="n"/>
      <c r="B46" s="242" t="n"/>
      <c r="C46" s="209" t="n"/>
      <c r="D46" s="242" t="n"/>
      <c r="E46" s="242" t="n"/>
      <c r="F46" s="242" t="n"/>
      <c r="G46" s="242" t="n"/>
      <c r="H46" s="242" t="n"/>
      <c r="I46" s="242" t="n"/>
      <c r="J46" s="242" t="n"/>
      <c r="K46" s="242" t="n"/>
      <c r="L46" s="242" t="n"/>
      <c r="M46" s="242" t="n"/>
      <c r="N46" s="242" t="n"/>
      <c r="O46" s="242" t="n"/>
      <c r="P46" s="242" t="n"/>
      <c r="Q46" s="242" t="n"/>
      <c r="R46" s="242" t="n"/>
    </row>
    <row r="47">
      <c r="A47" s="242" t="n"/>
      <c r="B47" s="242" t="n"/>
      <c r="C47" s="209" t="n"/>
      <c r="D47" s="242" t="n"/>
      <c r="E47" s="242" t="n"/>
      <c r="F47" s="242" t="n"/>
      <c r="G47" s="242" t="n"/>
      <c r="H47" s="242" t="n"/>
      <c r="I47" s="242" t="n"/>
      <c r="J47" s="242" t="n"/>
      <c r="K47" s="242" t="n"/>
      <c r="L47" s="242" t="n"/>
      <c r="M47" s="242" t="n"/>
      <c r="N47" s="242" t="n"/>
      <c r="O47" s="242" t="n"/>
      <c r="P47" s="242" t="n"/>
      <c r="Q47" s="242" t="n"/>
      <c r="R47" s="242" t="n"/>
    </row>
    <row r="48">
      <c r="A48" s="242" t="n"/>
      <c r="B48" s="242" t="n"/>
      <c r="C48" s="209" t="n"/>
      <c r="D48" s="242" t="n"/>
      <c r="E48" s="242" t="n"/>
      <c r="F48" s="242" t="n"/>
      <c r="G48" s="242" t="n"/>
      <c r="H48" s="242" t="n"/>
      <c r="I48" s="242" t="n"/>
      <c r="J48" s="242" t="n"/>
      <c r="K48" s="242" t="n"/>
      <c r="L48" s="242" t="n"/>
      <c r="M48" s="242" t="n"/>
      <c r="N48" s="242" t="n"/>
      <c r="O48" s="242" t="n"/>
      <c r="P48" s="242" t="n"/>
      <c r="Q48" s="242" t="n"/>
      <c r="R48" s="242" t="n"/>
    </row>
    <row r="49">
      <c r="A49" s="242" t="n"/>
      <c r="B49" s="242" t="n"/>
      <c r="C49" s="209" t="n"/>
      <c r="D49" s="242" t="n"/>
      <c r="E49" s="242" t="n"/>
      <c r="F49" s="242" t="n"/>
      <c r="G49" s="242" t="n"/>
      <c r="H49" s="242" t="n"/>
      <c r="I49" s="242" t="n"/>
      <c r="J49" s="242" t="n"/>
      <c r="K49" s="242" t="n"/>
      <c r="L49" s="242" t="n"/>
      <c r="M49" s="242" t="n"/>
      <c r="N49" s="242" t="n"/>
      <c r="O49" s="242" t="n"/>
      <c r="P49" s="242" t="n"/>
      <c r="Q49" s="242" t="n"/>
      <c r="R49" s="242" t="n"/>
    </row>
    <row r="50">
      <c r="A50" s="242" t="n"/>
      <c r="B50" s="242" t="n"/>
      <c r="C50" s="209" t="n"/>
      <c r="D50" s="242" t="n"/>
      <c r="E50" s="242" t="n"/>
      <c r="F50" s="242" t="n"/>
      <c r="G50" s="242" t="n"/>
      <c r="H50" s="242" t="n"/>
      <c r="I50" s="242" t="n"/>
      <c r="J50" s="242" t="n"/>
      <c r="K50" s="242" t="n"/>
      <c r="L50" s="242" t="n"/>
      <c r="M50" s="242" t="n"/>
      <c r="N50" s="242" t="n"/>
      <c r="O50" s="242" t="n"/>
      <c r="P50" s="242" t="n"/>
      <c r="Q50" s="242" t="n"/>
      <c r="R50" s="242" t="n"/>
    </row>
    <row r="51">
      <c r="A51" s="242" t="n"/>
      <c r="B51" s="242" t="n"/>
      <c r="C51" s="209" t="n"/>
      <c r="D51" s="242" t="n"/>
      <c r="E51" s="242" t="n"/>
      <c r="F51" s="242" t="n"/>
      <c r="G51" s="242" t="n"/>
      <c r="H51" s="242" t="n"/>
      <c r="I51" s="242" t="n"/>
      <c r="J51" s="242" t="n"/>
      <c r="K51" s="242" t="n"/>
      <c r="L51" s="242" t="n"/>
      <c r="M51" s="242" t="n"/>
      <c r="N51" s="242" t="n"/>
      <c r="O51" s="242" t="n"/>
      <c r="P51" s="242" t="n"/>
      <c r="Q51" s="242" t="n"/>
      <c r="R51" s="242" t="n"/>
    </row>
    <row r="52">
      <c r="A52" s="242" t="n"/>
      <c r="B52" s="242" t="n"/>
      <c r="C52" s="209" t="n"/>
      <c r="D52" s="242" t="n"/>
      <c r="E52" s="242" t="n"/>
      <c r="F52" s="242" t="n"/>
      <c r="G52" s="242" t="n"/>
      <c r="H52" s="242" t="n"/>
      <c r="I52" s="242" t="n"/>
      <c r="J52" s="242" t="n"/>
      <c r="K52" s="242" t="n"/>
      <c r="L52" s="242" t="n"/>
      <c r="M52" s="242" t="n"/>
      <c r="N52" s="242" t="n"/>
      <c r="O52" s="242" t="n"/>
      <c r="P52" s="242" t="n"/>
      <c r="Q52" s="242" t="n"/>
      <c r="R52" s="242" t="n"/>
    </row>
    <row r="53">
      <c r="A53" s="242" t="n"/>
      <c r="B53" s="242" t="n"/>
      <c r="C53" s="209" t="n"/>
      <c r="D53" s="242" t="n"/>
      <c r="E53" s="242" t="n"/>
      <c r="F53" s="242" t="n"/>
      <c r="G53" s="242" t="n"/>
      <c r="H53" s="242" t="n"/>
      <c r="I53" s="242" t="n"/>
      <c r="J53" s="242" t="n"/>
      <c r="K53" s="242" t="n"/>
      <c r="L53" s="242" t="n"/>
      <c r="M53" s="242" t="n"/>
      <c r="N53" s="242" t="n"/>
      <c r="O53" s="242" t="n"/>
      <c r="P53" s="242" t="n"/>
      <c r="Q53" s="242" t="n"/>
      <c r="R53" s="242" t="n"/>
    </row>
    <row r="54">
      <c r="A54" s="242" t="n"/>
      <c r="B54" s="242" t="n"/>
      <c r="C54" s="209" t="n"/>
      <c r="D54" s="242" t="n"/>
      <c r="E54" s="242" t="n"/>
      <c r="F54" s="242" t="n"/>
      <c r="G54" s="242" t="n"/>
      <c r="H54" s="242" t="n"/>
      <c r="I54" s="242" t="n"/>
      <c r="J54" s="242" t="n"/>
      <c r="K54" s="242" t="n"/>
      <c r="L54" s="242" t="n"/>
      <c r="M54" s="242" t="n"/>
      <c r="N54" s="242" t="n"/>
      <c r="O54" s="242" t="n"/>
      <c r="P54" s="242" t="n"/>
      <c r="Q54" s="242" t="n"/>
      <c r="R54" s="242" t="n"/>
    </row>
    <row r="55">
      <c r="A55" s="242" t="n"/>
      <c r="B55" s="242" t="n"/>
      <c r="C55" s="209" t="n"/>
      <c r="D55" s="242" t="n"/>
      <c r="E55" s="242" t="n"/>
      <c r="F55" s="242" t="n"/>
      <c r="G55" s="242" t="n"/>
      <c r="H55" s="242" t="n"/>
      <c r="I55" s="242" t="n"/>
      <c r="J55" s="242" t="n"/>
      <c r="K55" s="242" t="n"/>
      <c r="L55" s="242" t="n"/>
      <c r="M55" s="242" t="n"/>
      <c r="N55" s="242" t="n"/>
      <c r="O55" s="242" t="n"/>
      <c r="P55" s="242" t="n"/>
      <c r="Q55" s="242" t="n"/>
      <c r="R55" s="242" t="n"/>
    </row>
    <row r="56">
      <c r="A56" s="242" t="n"/>
      <c r="B56" s="242" t="n"/>
      <c r="C56" s="209" t="n"/>
      <c r="D56" s="242" t="n"/>
      <c r="E56" s="242" t="n"/>
      <c r="F56" s="242" t="n"/>
      <c r="G56" s="242" t="n"/>
      <c r="H56" s="242" t="n"/>
      <c r="I56" s="242" t="n"/>
      <c r="J56" s="242" t="n"/>
      <c r="K56" s="242" t="n"/>
      <c r="L56" s="242" t="n"/>
      <c r="M56" s="242" t="n"/>
      <c r="N56" s="242" t="n"/>
      <c r="O56" s="242" t="n"/>
      <c r="P56" s="242" t="n"/>
      <c r="Q56" s="242" t="n"/>
      <c r="R56" s="242" t="n"/>
    </row>
    <row r="57">
      <c r="A57" s="242" t="n"/>
      <c r="B57" s="242" t="n"/>
      <c r="C57" s="209" t="n"/>
      <c r="D57" s="242" t="n"/>
      <c r="E57" s="242" t="n"/>
      <c r="F57" s="242" t="n"/>
      <c r="G57" s="242" t="n"/>
      <c r="H57" s="242" t="n"/>
      <c r="I57" s="242" t="n"/>
      <c r="J57" s="242" t="n"/>
      <c r="K57" s="242" t="n"/>
      <c r="L57" s="242" t="n"/>
      <c r="M57" s="242" t="n"/>
      <c r="N57" s="242" t="n"/>
      <c r="O57" s="242" t="n"/>
      <c r="P57" s="242" t="n"/>
      <c r="Q57" s="242" t="n"/>
      <c r="R57" s="242" t="n"/>
    </row>
    <row r="58">
      <c r="A58" s="242" t="n"/>
      <c r="B58" s="242" t="n"/>
      <c r="C58" s="209" t="n"/>
      <c r="D58" s="242" t="n"/>
      <c r="E58" s="242" t="n"/>
      <c r="F58" s="242" t="n"/>
      <c r="G58" s="242" t="n"/>
      <c r="H58" s="242" t="n"/>
      <c r="I58" s="242" t="n"/>
      <c r="J58" s="242" t="n"/>
      <c r="K58" s="242" t="n"/>
      <c r="L58" s="242" t="n"/>
      <c r="M58" s="242" t="n"/>
      <c r="N58" s="242" t="n"/>
      <c r="O58" s="242" t="n"/>
      <c r="P58" s="242" t="n"/>
      <c r="Q58" s="242" t="n"/>
      <c r="R58" s="242" t="n"/>
    </row>
    <row r="59">
      <c r="A59" s="242" t="n"/>
      <c r="B59" s="242" t="n"/>
      <c r="C59" s="209" t="n"/>
      <c r="D59" s="242" t="n"/>
      <c r="E59" s="242" t="n"/>
      <c r="F59" s="242" t="n"/>
      <c r="G59" s="242" t="n"/>
      <c r="H59" s="242" t="n"/>
      <c r="I59" s="242" t="n"/>
      <c r="J59" s="242" t="n"/>
      <c r="K59" s="242" t="n"/>
      <c r="L59" s="242" t="n"/>
      <c r="M59" s="242" t="n"/>
      <c r="N59" s="242" t="n"/>
      <c r="O59" s="242" t="n"/>
      <c r="P59" s="242" t="n"/>
      <c r="Q59" s="242" t="n"/>
      <c r="R59" s="242" t="n"/>
    </row>
    <row r="60">
      <c r="A60" s="242" t="n"/>
      <c r="B60" s="242" t="n"/>
      <c r="C60" s="209" t="n"/>
      <c r="D60" s="242" t="n"/>
      <c r="E60" s="242" t="n"/>
      <c r="F60" s="242" t="n"/>
      <c r="G60" s="242" t="n"/>
      <c r="H60" s="242" t="n"/>
      <c r="I60" s="242" t="n"/>
      <c r="J60" s="242" t="n"/>
      <c r="K60" s="242" t="n"/>
      <c r="L60" s="242" t="n"/>
      <c r="M60" s="242" t="n"/>
      <c r="N60" s="242" t="n"/>
      <c r="O60" s="242" t="n"/>
      <c r="P60" s="242" t="n"/>
      <c r="Q60" s="242" t="n"/>
      <c r="R60" s="242" t="n"/>
    </row>
    <row r="61">
      <c r="A61" s="242" t="n"/>
      <c r="B61" s="242" t="n"/>
      <c r="C61" s="209" t="n"/>
      <c r="D61" s="242" t="n"/>
      <c r="E61" s="242" t="n"/>
      <c r="F61" s="242" t="n"/>
      <c r="G61" s="242" t="n"/>
      <c r="H61" s="242" t="n"/>
      <c r="I61" s="242" t="n"/>
      <c r="J61" s="242" t="n"/>
      <c r="K61" s="242" t="n"/>
      <c r="L61" s="242" t="n"/>
      <c r="M61" s="242" t="n"/>
      <c r="N61" s="242" t="n"/>
      <c r="O61" s="242" t="n"/>
      <c r="P61" s="242" t="n"/>
      <c r="Q61" s="242" t="n"/>
      <c r="R61" s="242" t="n"/>
    </row>
    <row r="62">
      <c r="A62" s="242" t="n"/>
      <c r="B62" s="242" t="n"/>
      <c r="C62" s="209" t="n"/>
      <c r="D62" s="242" t="n"/>
      <c r="E62" s="242" t="n"/>
      <c r="F62" s="242" t="n"/>
      <c r="G62" s="242" t="n"/>
      <c r="H62" s="242" t="n"/>
      <c r="I62" s="242" t="n"/>
      <c r="J62" s="242" t="n"/>
      <c r="K62" s="242" t="n"/>
      <c r="L62" s="242" t="n"/>
      <c r="M62" s="242" t="n"/>
      <c r="N62" s="242" t="n"/>
      <c r="O62" s="242" t="n"/>
      <c r="P62" s="242" t="n"/>
      <c r="Q62" s="242" t="n"/>
      <c r="R62" s="242" t="n"/>
    </row>
    <row r="63">
      <c r="A63" s="242" t="n"/>
      <c r="B63" s="242" t="n"/>
      <c r="C63" s="209" t="n"/>
      <c r="D63" s="242" t="n"/>
      <c r="E63" s="242" t="n"/>
      <c r="F63" s="242" t="n"/>
      <c r="G63" s="242" t="n"/>
      <c r="H63" s="242" t="n"/>
      <c r="I63" s="242" t="n"/>
      <c r="J63" s="242" t="n"/>
      <c r="K63" s="242" t="n"/>
      <c r="L63" s="242" t="n"/>
      <c r="M63" s="242" t="n"/>
      <c r="N63" s="242" t="n"/>
      <c r="O63" s="242" t="n"/>
      <c r="P63" s="242" t="n"/>
      <c r="Q63" s="242" t="n"/>
      <c r="R63" s="242" t="n"/>
    </row>
    <row r="64">
      <c r="A64" s="242" t="n"/>
      <c r="B64" s="242" t="n"/>
      <c r="C64" s="209" t="n"/>
      <c r="D64" s="242" t="n"/>
      <c r="E64" s="242" t="n"/>
      <c r="F64" s="242" t="n"/>
      <c r="G64" s="242" t="n"/>
      <c r="H64" s="242" t="n"/>
      <c r="I64" s="242" t="n"/>
      <c r="J64" s="242" t="n"/>
      <c r="K64" s="242" t="n"/>
      <c r="L64" s="242" t="n"/>
      <c r="M64" s="242" t="n"/>
      <c r="N64" s="242" t="n"/>
      <c r="O64" s="242" t="n"/>
      <c r="P64" s="242" t="n"/>
      <c r="Q64" s="242" t="n"/>
      <c r="R64" s="242" t="n"/>
    </row>
    <row r="65">
      <c r="A65" s="242" t="n"/>
      <c r="B65" s="242" t="n"/>
      <c r="C65" s="209" t="n"/>
      <c r="D65" s="242" t="n"/>
      <c r="E65" s="242" t="n"/>
      <c r="F65" s="242" t="n"/>
      <c r="G65" s="242" t="n"/>
      <c r="H65" s="242" t="n"/>
      <c r="I65" s="242" t="n"/>
      <c r="J65" s="242" t="n"/>
      <c r="K65" s="242" t="n"/>
      <c r="L65" s="242" t="n"/>
      <c r="M65" s="242" t="n"/>
      <c r="N65" s="242" t="n"/>
      <c r="O65" s="242" t="n"/>
      <c r="P65" s="242" t="n"/>
      <c r="Q65" s="242" t="n"/>
      <c r="R65" s="242" t="n"/>
    </row>
    <row r="66">
      <c r="A66" s="242" t="n"/>
      <c r="B66" s="242" t="n"/>
      <c r="C66" s="209" t="n"/>
      <c r="D66" s="242" t="n"/>
      <c r="E66" s="242" t="n"/>
      <c r="F66" s="242" t="n"/>
      <c r="G66" s="242" t="n"/>
      <c r="H66" s="242" t="n"/>
      <c r="I66" s="242" t="n"/>
      <c r="J66" s="242" t="n"/>
      <c r="K66" s="242" t="n"/>
      <c r="L66" s="242" t="n"/>
      <c r="M66" s="242" t="n"/>
      <c r="N66" s="242" t="n"/>
      <c r="O66" s="242" t="n"/>
      <c r="P66" s="242" t="n"/>
      <c r="Q66" s="242" t="n"/>
      <c r="R66" s="242" t="n"/>
    </row>
    <row r="67">
      <c r="A67" s="242" t="n"/>
      <c r="B67" s="242" t="n"/>
      <c r="C67" s="209" t="n"/>
      <c r="D67" s="242" t="n"/>
      <c r="E67" s="242" t="n"/>
      <c r="F67" s="242" t="n"/>
      <c r="G67" s="242" t="n"/>
      <c r="H67" s="242" t="n"/>
      <c r="I67" s="242" t="n"/>
      <c r="J67" s="242" t="n"/>
      <c r="K67" s="242" t="n"/>
      <c r="L67" s="242" t="n"/>
      <c r="M67" s="242" t="n"/>
      <c r="N67" s="242" t="n"/>
      <c r="O67" s="242" t="n"/>
      <c r="P67" s="242" t="n"/>
      <c r="Q67" s="242" t="n"/>
      <c r="R67" s="242" t="n"/>
    </row>
    <row r="68">
      <c r="A68" s="242" t="n"/>
      <c r="B68" s="242" t="n"/>
      <c r="C68" s="209" t="n"/>
      <c r="D68" s="242" t="n"/>
      <c r="E68" s="242" t="n"/>
      <c r="F68" s="242" t="n"/>
      <c r="G68" s="242" t="n"/>
      <c r="H68" s="242" t="n"/>
      <c r="I68" s="242" t="n"/>
      <c r="J68" s="242" t="n"/>
      <c r="K68" s="242" t="n"/>
      <c r="L68" s="242" t="n"/>
      <c r="M68" s="242" t="n"/>
      <c r="N68" s="242" t="n"/>
      <c r="O68" s="242" t="n"/>
      <c r="P68" s="242" t="n"/>
      <c r="Q68" s="242" t="n"/>
      <c r="R68" s="242" t="n"/>
    </row>
    <row r="69">
      <c r="A69" s="242" t="n"/>
      <c r="B69" s="242" t="n"/>
      <c r="C69" s="209" t="n"/>
      <c r="D69" s="242" t="n"/>
      <c r="E69" s="242" t="n"/>
      <c r="F69" s="242" t="n"/>
      <c r="G69" s="242" t="n"/>
      <c r="H69" s="242" t="n"/>
      <c r="I69" s="242" t="n"/>
      <c r="J69" s="242" t="n"/>
      <c r="K69" s="242" t="n"/>
      <c r="L69" s="242" t="n"/>
      <c r="M69" s="242" t="n"/>
      <c r="N69" s="242" t="n"/>
      <c r="O69" s="242" t="n"/>
      <c r="P69" s="242" t="n"/>
      <c r="Q69" s="242" t="n"/>
      <c r="R69" s="242" t="n"/>
    </row>
    <row r="70">
      <c r="A70" s="242" t="n"/>
      <c r="B70" s="242" t="n"/>
      <c r="C70" s="209" t="n"/>
      <c r="D70" s="242" t="n"/>
      <c r="E70" s="242" t="n"/>
      <c r="F70" s="242" t="n"/>
      <c r="G70" s="242" t="n"/>
      <c r="H70" s="242" t="n"/>
      <c r="I70" s="242" t="n"/>
      <c r="J70" s="242" t="n"/>
      <c r="K70" s="242" t="n"/>
      <c r="L70" s="242" t="n"/>
      <c r="M70" s="242" t="n"/>
      <c r="N70" s="242" t="n"/>
      <c r="O70" s="242" t="n"/>
      <c r="P70" s="242" t="n"/>
      <c r="Q70" s="242" t="n"/>
      <c r="R70" s="242" t="n"/>
    </row>
    <row r="71">
      <c r="A71" s="241" t="inlineStr">
        <is>
          <t>Number of Students Attempted</t>
        </is>
      </c>
      <c r="B71" s="275" t="n"/>
      <c r="C71" s="276" t="n"/>
      <c r="D71" s="242">
        <f>COUNTA(D7:D70)</f>
        <v/>
      </c>
      <c r="E71" s="242">
        <f>COUNTA(E7:E70)</f>
        <v/>
      </c>
      <c r="F71" s="242">
        <f>COUNTA(F7:F70)</f>
        <v/>
      </c>
      <c r="G71" s="242">
        <f>COUNTA(G7:G70)</f>
        <v/>
      </c>
      <c r="H71" s="242" t="n"/>
      <c r="I71" s="242" t="n"/>
      <c r="J71" s="242" t="n"/>
      <c r="K71" s="242" t="n"/>
      <c r="L71" s="242" t="n"/>
      <c r="M71" s="242" t="n"/>
      <c r="N71" s="242" t="n"/>
      <c r="O71" s="242" t="n"/>
      <c r="P71" s="242" t="n"/>
      <c r="Q71" s="242" t="n"/>
      <c r="R71" s="242" t="n"/>
    </row>
    <row r="72">
      <c r="A72" s="250" t="inlineStr">
        <is>
          <t>Number of students who got more than 65% of marks</t>
        </is>
      </c>
      <c r="B72" s="275" t="n"/>
      <c r="C72" s="276" t="n"/>
      <c r="D72" s="210">
        <f>COUNTIF(D7:D70,"&gt;="&amp;0.65*D4)</f>
        <v/>
      </c>
      <c r="E72" s="210">
        <f>COUNTIF(E7:E70,"&gt;="&amp;0.65*E4)</f>
        <v/>
      </c>
      <c r="F72" s="210">
        <f>COUNTIF(F7:F70,"&gt;="&amp;0.65*F4)</f>
        <v/>
      </c>
      <c r="G72" s="210">
        <f>COUNTIF(G7:G70,"&gt;="&amp;0.65*G4)</f>
        <v/>
      </c>
      <c r="H72" s="210" t="n"/>
      <c r="I72" s="210" t="n"/>
      <c r="J72" s="210" t="n"/>
      <c r="K72" s="210" t="n"/>
      <c r="L72" s="210" t="n"/>
      <c r="M72" s="210" t="n"/>
      <c r="N72" s="210" t="n"/>
      <c r="O72" s="210" t="n"/>
      <c r="P72" s="210" t="n"/>
      <c r="Q72" s="210" t="n"/>
      <c r="R72" s="210" t="n"/>
    </row>
    <row r="73">
      <c r="A73" s="241" t="inlineStr">
        <is>
          <t>Percentage of students who got more than 65% of marks</t>
        </is>
      </c>
      <c r="B73" s="275" t="n"/>
      <c r="C73" s="276" t="n"/>
      <c r="D73" s="242">
        <f>IF(D71&gt;0,ROUND(D72/D71*100,2),"-")</f>
        <v/>
      </c>
      <c r="E73" s="242">
        <f>IF(E71&gt;0,ROUND(E72/E71*100,2),"-")</f>
        <v/>
      </c>
      <c r="F73" s="242">
        <f>IF(F71&gt;0,ROUND(F72/F71*100,2),"-")</f>
        <v/>
      </c>
      <c r="G73" s="242">
        <f>IF(G71&gt;0,ROUND(G72/G71*100,2),"-")</f>
        <v/>
      </c>
      <c r="H73" s="242" t="n"/>
      <c r="I73" s="242" t="n"/>
      <c r="J73" s="242" t="n"/>
      <c r="K73" s="242" t="n"/>
      <c r="L73" s="242" t="n"/>
      <c r="M73" s="242" t="n"/>
      <c r="N73" s="242" t="n"/>
      <c r="O73" s="242" t="n"/>
      <c r="P73" s="242" t="n"/>
      <c r="Q73" s="242" t="n"/>
      <c r="R73" s="242" t="n"/>
    </row>
    <row r="74">
      <c r="A74" s="241" t="inlineStr">
        <is>
          <t>Average Percentage of students who got more than 65% of marks</t>
        </is>
      </c>
      <c r="B74" s="275" t="n"/>
      <c r="C74" s="276" t="n"/>
      <c r="D74" s="242">
        <f>IFERROR(ROUND(SUMPRODUCT(D73:G73,D4:G4)/SUM(D4:G4), 2),"-")</f>
        <v/>
      </c>
      <c r="E74" s="275" t="n"/>
      <c r="F74" s="275" t="n"/>
      <c r="G74" s="276" t="n"/>
      <c r="H74" s="242" t="n"/>
      <c r="I74" s="242" t="n"/>
      <c r="J74" s="242" t="n"/>
      <c r="K74" s="242" t="n"/>
      <c r="L74" s="242" t="n"/>
      <c r="M74" s="242" t="n"/>
      <c r="N74" s="242" t="n"/>
      <c r="O74" s="242" t="n"/>
      <c r="P74" s="242" t="n"/>
      <c r="Q74" s="242" t="n"/>
      <c r="R74" s="242" t="n"/>
    </row>
    <row r="75">
      <c r="A75" s="241" t="inlineStr">
        <is>
          <t xml:space="preserve"> CO Attainment Level (&gt;=85:3,&gt;=75:2,&gt;=65:1,&lt;65:0)</t>
        </is>
      </c>
      <c r="B75" s="275" t="n"/>
      <c r="C75" s="276" t="n"/>
      <c r="D75" s="242">
        <f>IF(D74&gt;=85,3,IF(D74&gt;=75,2,IF(D74&gt;=65,1,0)))</f>
        <v/>
      </c>
      <c r="E75" s="275" t="n"/>
      <c r="F75" s="275" t="n"/>
      <c r="G75" s="276" t="n"/>
      <c r="H75" s="242" t="n"/>
      <c r="I75" s="242" t="n"/>
      <c r="J75" s="242" t="n"/>
      <c r="K75" s="242" t="n"/>
      <c r="L75" s="242" t="n"/>
      <c r="M75" s="242" t="n"/>
      <c r="N75" s="242" t="n"/>
      <c r="O75" s="242" t="n"/>
      <c r="P75" s="242" t="n"/>
      <c r="Q75" s="242" t="n"/>
      <c r="R75" s="242" t="n"/>
    </row>
    <row r="77">
      <c r="A77" s="245" t="inlineStr">
        <is>
          <t>CO</t>
        </is>
      </c>
      <c r="B77" s="276" t="n"/>
      <c r="C77" s="245" t="inlineStr">
        <is>
          <t>CO Wise Average Percentage of students who got more than 65% of marks</t>
        </is>
      </c>
      <c r="D77" s="275" t="n"/>
      <c r="E77" s="275" t="n"/>
      <c r="F77" s="275" t="n"/>
      <c r="G77" s="275" t="n"/>
      <c r="H77" s="275" t="n"/>
      <c r="I77" s="276" t="n"/>
      <c r="J77" s="245" t="inlineStr">
        <is>
          <t>Overall CO Attainment Level (&gt;=85:3,&gt;=75:2,&gt;=65:1,&lt;65:0)</t>
        </is>
      </c>
      <c r="K77" s="275" t="n"/>
      <c r="L77" s="275" t="n"/>
      <c r="M77" s="275" t="n"/>
      <c r="N77" s="275" t="n"/>
      <c r="O77" s="275" t="n"/>
      <c r="P77" s="275" t="n"/>
      <c r="Q77" s="275" t="n"/>
      <c r="R77" s="276" t="n"/>
    </row>
    <row r="78">
      <c r="A78" s="242" t="inlineStr">
        <is>
          <t>CO1</t>
        </is>
      </c>
      <c r="B78" s="276" t="n"/>
      <c r="C78" s="242" t="n">
        <v>0</v>
      </c>
      <c r="D78" s="275" t="n"/>
      <c r="E78" s="275" t="n"/>
      <c r="F78" s="275" t="n"/>
      <c r="G78" s="275" t="n"/>
      <c r="H78" s="275" t="n"/>
      <c r="I78" s="276" t="n"/>
      <c r="J78" s="242" t="n">
        <v>0</v>
      </c>
      <c r="K78" s="275" t="n"/>
      <c r="L78" s="275" t="n"/>
      <c r="M78" s="275" t="n"/>
      <c r="N78" s="275" t="n"/>
      <c r="O78" s="275" t="n"/>
      <c r="P78" s="275" t="n"/>
      <c r="Q78" s="275" t="n"/>
      <c r="R78" s="276" t="n"/>
    </row>
    <row r="79">
      <c r="A79" s="242" t="inlineStr">
        <is>
          <t>CO2</t>
        </is>
      </c>
      <c r="B79" s="276" t="n"/>
      <c r="C79" s="242" t="n">
        <v>0</v>
      </c>
      <c r="D79" s="275" t="n"/>
      <c r="E79" s="275" t="n"/>
      <c r="F79" s="275" t="n"/>
      <c r="G79" s="275" t="n"/>
      <c r="H79" s="275" t="n"/>
      <c r="I79" s="276" t="n"/>
      <c r="J79" s="242" t="n">
        <v>0</v>
      </c>
      <c r="K79" s="275" t="n"/>
      <c r="L79" s="275" t="n"/>
      <c r="M79" s="275" t="n"/>
      <c r="N79" s="275" t="n"/>
      <c r="O79" s="275" t="n"/>
      <c r="P79" s="275" t="n"/>
      <c r="Q79" s="275" t="n"/>
      <c r="R79" s="276" t="n"/>
    </row>
    <row r="80">
      <c r="A80" s="242" t="inlineStr">
        <is>
          <t>CO3</t>
        </is>
      </c>
      <c r="B80" s="276" t="n"/>
      <c r="C80" s="242">
        <f>IFERROR(ROUND((SUMPRODUCT(D73:G73,D4:G4)/SUM(D4:G4))/1,2),"-")</f>
        <v/>
      </c>
      <c r="D80" s="275" t="n"/>
      <c r="E80" s="275" t="n"/>
      <c r="F80" s="275" t="n"/>
      <c r="G80" s="275" t="n"/>
      <c r="H80" s="275" t="n"/>
      <c r="I80" s="276" t="n"/>
      <c r="J80" s="242">
        <f>IF(C80&gt;=85,3,IF(C80&gt;=75,2,IF(C80&gt;=65,1,0)))</f>
        <v/>
      </c>
      <c r="K80" s="275" t="n"/>
      <c r="L80" s="275" t="n"/>
      <c r="M80" s="275" t="n"/>
      <c r="N80" s="275" t="n"/>
      <c r="O80" s="275" t="n"/>
      <c r="P80" s="275" t="n"/>
      <c r="Q80" s="275" t="n"/>
      <c r="R80" s="276" t="n"/>
    </row>
    <row r="81">
      <c r="A81" s="242" t="inlineStr">
        <is>
          <t>CO4</t>
        </is>
      </c>
      <c r="B81" s="276" t="n"/>
      <c r="C81" s="242" t="n">
        <v>0</v>
      </c>
      <c r="D81" s="275" t="n"/>
      <c r="E81" s="275" t="n"/>
      <c r="F81" s="275" t="n"/>
      <c r="G81" s="275" t="n"/>
      <c r="H81" s="275" t="n"/>
      <c r="I81" s="276" t="n"/>
      <c r="J81" s="242" t="n">
        <v>0</v>
      </c>
      <c r="K81" s="275" t="n"/>
      <c r="L81" s="275" t="n"/>
      <c r="M81" s="275" t="n"/>
      <c r="N81" s="275" t="n"/>
      <c r="O81" s="275" t="n"/>
      <c r="P81" s="275" t="n"/>
      <c r="Q81" s="275" t="n"/>
      <c r="R81" s="276" t="n"/>
    </row>
    <row r="82">
      <c r="A82" s="242" t="inlineStr">
        <is>
          <t>CO5</t>
        </is>
      </c>
      <c r="B82" s="276" t="n"/>
      <c r="C82" s="242" t="n">
        <v>0</v>
      </c>
      <c r="D82" s="275" t="n"/>
      <c r="E82" s="275" t="n"/>
      <c r="F82" s="275" t="n"/>
      <c r="G82" s="275" t="n"/>
      <c r="H82" s="275" t="n"/>
      <c r="I82" s="276" t="n"/>
      <c r="J82" s="242" t="n">
        <v>0</v>
      </c>
      <c r="K82" s="275" t="n"/>
      <c r="L82" s="275" t="n"/>
      <c r="M82" s="275" t="n"/>
      <c r="N82" s="275" t="n"/>
      <c r="O82" s="275" t="n"/>
      <c r="P82" s="275" t="n"/>
      <c r="Q82" s="275" t="n"/>
      <c r="R82" s="276" t="n"/>
    </row>
    <row r="83">
      <c r="A83" s="242" t="inlineStr">
        <is>
          <t>CO6</t>
        </is>
      </c>
      <c r="B83" s="276" t="n"/>
      <c r="C83" s="242" t="n">
        <v>0</v>
      </c>
      <c r="D83" s="275" t="n"/>
      <c r="E83" s="275" t="n"/>
      <c r="F83" s="275" t="n"/>
      <c r="G83" s="275" t="n"/>
      <c r="H83" s="275" t="n"/>
      <c r="I83" s="276" t="n"/>
      <c r="J83" s="242" t="n">
        <v>0</v>
      </c>
      <c r="K83" s="275" t="n"/>
      <c r="L83" s="275" t="n"/>
      <c r="M83" s="275" t="n"/>
      <c r="N83" s="275" t="n"/>
      <c r="O83" s="275" t="n"/>
      <c r="P83" s="275" t="n"/>
      <c r="Q83" s="275" t="n"/>
      <c r="R83" s="276" t="n"/>
    </row>
  </sheetData>
  <mergeCells count="37">
    <mergeCell ref="D3:G3"/>
    <mergeCell ref="A82:B82"/>
    <mergeCell ref="A75:C75"/>
    <mergeCell ref="J80:R80"/>
    <mergeCell ref="D74:G74"/>
    <mergeCell ref="A74:C74"/>
    <mergeCell ref="J83:R83"/>
    <mergeCell ref="C82:I82"/>
    <mergeCell ref="A3:C3"/>
    <mergeCell ref="A79:B79"/>
    <mergeCell ref="J79:R79"/>
    <mergeCell ref="D5:G5"/>
    <mergeCell ref="C81:I81"/>
    <mergeCell ref="A2:C2"/>
    <mergeCell ref="A78:B78"/>
    <mergeCell ref="A71:C71"/>
    <mergeCell ref="A5:C5"/>
    <mergeCell ref="C78:I78"/>
    <mergeCell ref="C77:I77"/>
    <mergeCell ref="C83:I83"/>
    <mergeCell ref="D1:G1"/>
    <mergeCell ref="A80:B80"/>
    <mergeCell ref="A4:C4"/>
    <mergeCell ref="A72:C72"/>
    <mergeCell ref="C79:I79"/>
    <mergeCell ref="D2:G2"/>
    <mergeCell ref="A73:C73"/>
    <mergeCell ref="J82:R82"/>
    <mergeCell ref="J81:R81"/>
    <mergeCell ref="A1:C1"/>
    <mergeCell ref="D75:G75"/>
    <mergeCell ref="C80:I80"/>
    <mergeCell ref="A81:B81"/>
    <mergeCell ref="A83:B83"/>
    <mergeCell ref="J78:R78"/>
    <mergeCell ref="A77:B77"/>
    <mergeCell ref="J77:R77"/>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3.2"/>
  <cols>
    <col width="6" customWidth="1" style="193" min="1" max="1"/>
    <col width="20" customWidth="1" style="193" min="2" max="2"/>
    <col width="40" customWidth="1" style="193" min="3" max="3"/>
    <col width="13" bestFit="1" customWidth="1" style="193" min="4" max="9"/>
    <col width="13" bestFit="1" customWidth="1" style="1" min="5" max="5"/>
    <col width="13" bestFit="1" customWidth="1" style="1" min="6" max="6"/>
    <col width="13" bestFit="1" customWidth="1" style="1" min="7" max="7"/>
    <col width="13" bestFit="1" customWidth="1" style="1" min="8" max="8"/>
    <col width="13" bestFit="1" customWidth="1" style="1" min="9" max="9"/>
    <col width="8.88671875" customWidth="1" style="193" min="10" max="10"/>
    <col width="8.88671875" customWidth="1" style="193" min="11" max="16384"/>
  </cols>
  <sheetData>
    <row r="1">
      <c r="A1" s="277" t="inlineStr">
        <is>
          <t>CO Mark Distribution</t>
        </is>
      </c>
      <c r="B1" s="278" t="n"/>
      <c r="C1" s="278" t="n"/>
      <c r="D1" s="278" t="n"/>
      <c r="E1" s="278" t="n"/>
      <c r="F1" s="278" t="n"/>
      <c r="G1" s="278" t="n"/>
      <c r="H1" s="278" t="n"/>
      <c r="I1" s="278" t="n"/>
    </row>
    <row r="2">
      <c r="A2" s="279" t="inlineStr">
        <is>
          <t>Total CO Marks:</t>
        </is>
      </c>
      <c r="B2" s="278" t="n"/>
      <c r="C2" s="280" t="n">
        <v>15</v>
      </c>
      <c r="D2" s="279" t="n">
        <v>5</v>
      </c>
      <c r="E2" s="279" t="n">
        <v>5</v>
      </c>
      <c r="F2" s="279" t="n">
        <v>5</v>
      </c>
      <c r="G2" s="279" t="n">
        <v>0</v>
      </c>
      <c r="H2" s="279" t="n">
        <v>0</v>
      </c>
      <c r="I2" s="279" t="n">
        <v>0</v>
      </c>
    </row>
    <row r="3">
      <c r="A3" s="281" t="inlineStr">
        <is>
          <t>S.No</t>
        </is>
      </c>
      <c r="B3" s="281" t="inlineStr">
        <is>
          <t>Register No</t>
        </is>
      </c>
      <c r="C3" s="281" t="inlineStr">
        <is>
          <t>Total Marks</t>
        </is>
      </c>
      <c r="D3" s="281" t="inlineStr">
        <is>
          <t>CO1</t>
        </is>
      </c>
      <c r="E3" s="281" t="inlineStr">
        <is>
          <t>CO2</t>
        </is>
      </c>
      <c r="F3" s="281" t="inlineStr">
        <is>
          <t>CO3</t>
        </is>
      </c>
      <c r="G3" s="281" t="inlineStr">
        <is>
          <t>CO4</t>
        </is>
      </c>
      <c r="H3" s="281" t="inlineStr">
        <is>
          <t>CO5</t>
        </is>
      </c>
      <c r="I3" s="281" t="inlineStr">
        <is>
          <t>CO6</t>
        </is>
      </c>
    </row>
    <row r="4">
      <c r="A4" s="278" t="n">
        <v>1</v>
      </c>
      <c r="B4" s="278" t="inlineStr">
        <is>
          <t>RA2412005040001</t>
        </is>
      </c>
      <c r="C4" s="278" t="n">
        <v>15</v>
      </c>
      <c r="D4" s="282" t="n">
        <v>5</v>
      </c>
      <c r="E4" s="282" t="n">
        <v>5</v>
      </c>
      <c r="F4" s="282" t="n">
        <v>5</v>
      </c>
      <c r="G4" s="282" t="inlineStr"/>
      <c r="H4" s="282" t="inlineStr"/>
      <c r="I4" s="282" t="inlineStr"/>
    </row>
    <row r="5">
      <c r="A5" s="278" t="n">
        <v>2</v>
      </c>
      <c r="B5" s="278" t="inlineStr">
        <is>
          <t>RA2412005040002</t>
        </is>
      </c>
      <c r="C5" s="278" t="n">
        <v>14.75</v>
      </c>
      <c r="D5" s="282" t="n">
        <v>4.92</v>
      </c>
      <c r="E5" s="282" t="n">
        <v>4.92</v>
      </c>
      <c r="F5" s="282" t="n">
        <v>4.92</v>
      </c>
      <c r="G5" s="282" t="inlineStr"/>
      <c r="H5" s="282" t="inlineStr"/>
      <c r="I5" s="282" t="inlineStr"/>
    </row>
    <row r="6">
      <c r="A6" s="278" t="n">
        <v>3</v>
      </c>
      <c r="B6" s="278" t="inlineStr">
        <is>
          <t>RA2412005040003</t>
        </is>
      </c>
      <c r="C6" s="278" t="n">
        <v>14.75</v>
      </c>
      <c r="D6" s="282" t="n">
        <v>4.92</v>
      </c>
      <c r="E6" s="282" t="n">
        <v>4.92</v>
      </c>
      <c r="F6" s="282" t="n">
        <v>4.92</v>
      </c>
      <c r="G6" s="282" t="inlineStr"/>
      <c r="H6" s="282" t="inlineStr"/>
      <c r="I6" s="282" t="inlineStr"/>
    </row>
    <row r="7">
      <c r="A7" s="278" t="n">
        <v>4</v>
      </c>
      <c r="B7" s="278" t="inlineStr">
        <is>
          <t>RA2412005040004</t>
        </is>
      </c>
      <c r="C7" s="278" t="n">
        <v>13.5</v>
      </c>
      <c r="D7" s="282" t="n">
        <v>4.5</v>
      </c>
      <c r="E7" s="282" t="n">
        <v>4.5</v>
      </c>
      <c r="F7" s="282" t="n">
        <v>4.5</v>
      </c>
      <c r="G7" s="282" t="inlineStr"/>
      <c r="H7" s="282" t="inlineStr"/>
      <c r="I7" s="282" t="inlineStr"/>
    </row>
    <row r="8">
      <c r="A8" s="278" t="n">
        <v>5</v>
      </c>
      <c r="B8" s="278" t="inlineStr">
        <is>
          <t>RA2412005040005</t>
        </is>
      </c>
      <c r="C8" s="278" t="n">
        <v>14.5</v>
      </c>
      <c r="D8" s="282" t="n">
        <v>4.83</v>
      </c>
      <c r="E8" s="282" t="n">
        <v>4.83</v>
      </c>
      <c r="F8" s="282" t="n">
        <v>4.83</v>
      </c>
      <c r="G8" s="282" t="inlineStr"/>
      <c r="H8" s="282" t="inlineStr"/>
      <c r="I8" s="282" t="inlineStr"/>
    </row>
    <row r="9">
      <c r="A9" s="278" t="n">
        <v>6</v>
      </c>
      <c r="B9" s="278" t="inlineStr">
        <is>
          <t>RA2412005040006</t>
        </is>
      </c>
      <c r="C9" s="278" t="n">
        <v>15</v>
      </c>
      <c r="D9" s="282" t="n">
        <v>5</v>
      </c>
      <c r="E9" s="282" t="n">
        <v>5</v>
      </c>
      <c r="F9" s="282" t="n">
        <v>5</v>
      </c>
      <c r="G9" s="282" t="inlineStr"/>
      <c r="H9" s="282" t="inlineStr"/>
      <c r="I9" s="282" t="inlineStr"/>
    </row>
    <row r="10">
      <c r="A10" s="278" t="n">
        <v>7</v>
      </c>
      <c r="B10" s="278" t="inlineStr">
        <is>
          <t>RA2412005040007</t>
        </is>
      </c>
      <c r="C10" s="278" t="n">
        <v>14.75</v>
      </c>
      <c r="D10" s="282" t="n">
        <v>4.92</v>
      </c>
      <c r="E10" s="282" t="n">
        <v>4.92</v>
      </c>
      <c r="F10" s="282" t="n">
        <v>4.92</v>
      </c>
      <c r="G10" s="282" t="inlineStr"/>
      <c r="H10" s="282" t="inlineStr"/>
      <c r="I10" s="282" t="inlineStr"/>
    </row>
    <row r="11">
      <c r="A11" s="278" t="n">
        <v>8</v>
      </c>
      <c r="B11" s="278" t="inlineStr">
        <is>
          <t>RA2412005040008</t>
        </is>
      </c>
      <c r="C11" s="278" t="n">
        <v>14.25</v>
      </c>
      <c r="D11" s="282" t="n">
        <v>4.75</v>
      </c>
      <c r="E11" s="282" t="n">
        <v>4.75</v>
      </c>
      <c r="F11" s="282" t="n">
        <v>4.75</v>
      </c>
      <c r="G11" s="282" t="inlineStr"/>
      <c r="H11" s="282" t="inlineStr"/>
      <c r="I11" s="282" t="inlineStr"/>
    </row>
    <row r="12">
      <c r="A12" s="278" t="n">
        <v>9</v>
      </c>
      <c r="B12" s="278" t="inlineStr">
        <is>
          <t>RA2412005040009</t>
        </is>
      </c>
      <c r="C12" s="278" t="n">
        <v>13.75</v>
      </c>
      <c r="D12" s="282" t="n">
        <v>4.58</v>
      </c>
      <c r="E12" s="282" t="n">
        <v>4.58</v>
      </c>
      <c r="F12" s="282" t="n">
        <v>4.58</v>
      </c>
      <c r="G12" s="282" t="inlineStr"/>
      <c r="H12" s="282" t="inlineStr"/>
      <c r="I12" s="282" t="inlineStr"/>
    </row>
    <row r="13">
      <c r="A13" s="278" t="n">
        <v>10</v>
      </c>
      <c r="B13" s="278" t="inlineStr">
        <is>
          <t>RA2412005040010</t>
        </is>
      </c>
      <c r="C13" s="278" t="n">
        <v>12.5</v>
      </c>
      <c r="D13" s="282" t="n">
        <v>4.17</v>
      </c>
      <c r="E13" s="282" t="n">
        <v>4.17</v>
      </c>
      <c r="F13" s="282" t="n">
        <v>4.17</v>
      </c>
      <c r="G13" s="282" t="inlineStr"/>
      <c r="H13" s="282" t="inlineStr"/>
      <c r="I13" s="282" t="inlineStr"/>
    </row>
    <row r="14">
      <c r="A14" s="278" t="n">
        <v>11</v>
      </c>
      <c r="B14" s="278" t="inlineStr">
        <is>
          <t>RA2412005040011</t>
        </is>
      </c>
      <c r="C14" s="278" t="n">
        <v>14.25</v>
      </c>
      <c r="D14" s="282" t="n">
        <v>4.75</v>
      </c>
      <c r="E14" s="282" t="n">
        <v>4.75</v>
      </c>
      <c r="F14" s="282" t="n">
        <v>4.75</v>
      </c>
      <c r="G14" s="282" t="inlineStr"/>
      <c r="H14" s="282" t="inlineStr"/>
      <c r="I14" s="282" t="inlineStr"/>
    </row>
    <row r="15">
      <c r="A15" s="278" t="n">
        <v>12</v>
      </c>
      <c r="B15" s="278" t="inlineStr">
        <is>
          <t>RA2412005040012</t>
        </is>
      </c>
      <c r="C15" s="278" t="n">
        <v>14</v>
      </c>
      <c r="D15" s="282" t="n">
        <v>4.67</v>
      </c>
      <c r="E15" s="282" t="n">
        <v>4.67</v>
      </c>
      <c r="F15" s="282" t="n">
        <v>4.67</v>
      </c>
      <c r="G15" s="282" t="inlineStr"/>
      <c r="H15" s="282" t="inlineStr"/>
      <c r="I15" s="282" t="inlineStr"/>
    </row>
    <row r="16">
      <c r="A16" s="278" t="n"/>
      <c r="B16" s="278" t="n"/>
      <c r="C16" s="278" t="n"/>
      <c r="D16" s="278" t="n"/>
      <c r="E16" s="278" t="n"/>
      <c r="F16" s="278" t="n"/>
      <c r="G16" s="278" t="n"/>
      <c r="H16" s="278" t="n"/>
      <c r="I16" s="278" t="n"/>
    </row>
    <row r="17">
      <c r="A17" s="278" t="n"/>
      <c r="B17" s="278" t="n"/>
      <c r="C17" s="278" t="n"/>
      <c r="D17" s="278" t="n"/>
      <c r="E17" s="278" t="n"/>
      <c r="F17" s="278" t="n"/>
      <c r="G17" s="278" t="n"/>
      <c r="H17" s="278" t="n"/>
      <c r="I17" s="278" t="n"/>
    </row>
    <row r="18">
      <c r="A18" s="278" t="n"/>
      <c r="B18" s="278" t="n"/>
      <c r="C18" s="278" t="n"/>
      <c r="D18" s="278" t="n"/>
      <c r="E18" s="278" t="n"/>
      <c r="F18" s="278" t="n"/>
      <c r="G18" s="278" t="n"/>
      <c r="H18" s="278" t="n"/>
      <c r="I18" s="278" t="n"/>
    </row>
    <row r="19">
      <c r="A19" s="278" t="n"/>
      <c r="B19" s="278" t="n"/>
      <c r="C19" s="278" t="n"/>
      <c r="D19" s="278" t="n"/>
      <c r="E19" s="278" t="n"/>
      <c r="F19" s="278" t="n"/>
      <c r="G19" s="278" t="n"/>
      <c r="H19" s="278" t="n"/>
      <c r="I19" s="278" t="n"/>
    </row>
    <row r="20">
      <c r="A20" s="278" t="n"/>
      <c r="B20" s="278" t="n"/>
      <c r="C20" s="278" t="n"/>
      <c r="D20" s="278" t="n"/>
      <c r="E20" s="278" t="n"/>
      <c r="F20" s="278" t="n"/>
      <c r="G20" s="278" t="n"/>
      <c r="H20" s="278" t="n"/>
      <c r="I20" s="278" t="n"/>
    </row>
    <row r="21">
      <c r="A21" s="278" t="n"/>
      <c r="B21" s="278" t="n"/>
      <c r="C21" s="278" t="n"/>
      <c r="D21" s="278" t="n"/>
      <c r="E21" s="278" t="n"/>
      <c r="F21" s="278" t="n"/>
      <c r="G21" s="278" t="n"/>
      <c r="H21" s="278" t="n"/>
      <c r="I21" s="278" t="n"/>
    </row>
    <row r="22">
      <c r="A22" s="278" t="n"/>
      <c r="B22" s="278" t="n"/>
      <c r="C22" s="278" t="n"/>
      <c r="D22" s="278" t="n"/>
      <c r="E22" s="278" t="n"/>
      <c r="F22" s="278" t="n"/>
      <c r="G22" s="278" t="n"/>
      <c r="H22" s="278" t="n"/>
      <c r="I22" s="278" t="n"/>
    </row>
    <row r="23">
      <c r="A23" s="278" t="n"/>
      <c r="B23" s="278" t="n"/>
      <c r="C23" s="278" t="n"/>
      <c r="D23" s="278" t="n"/>
      <c r="E23" s="278" t="n"/>
      <c r="F23" s="278" t="n"/>
      <c r="G23" s="278" t="n"/>
      <c r="H23" s="278" t="n"/>
      <c r="I23" s="278" t="n"/>
    </row>
    <row r="24">
      <c r="A24" s="278" t="n"/>
      <c r="B24" s="278" t="n"/>
      <c r="C24" s="278" t="n"/>
      <c r="D24" s="278" t="n"/>
      <c r="E24" s="278" t="n"/>
      <c r="F24" s="278" t="n"/>
      <c r="G24" s="278" t="n"/>
      <c r="H24" s="278" t="n"/>
      <c r="I24" s="278" t="n"/>
    </row>
    <row r="25">
      <c r="A25" s="278" t="n"/>
      <c r="B25" s="278" t="n"/>
      <c r="C25" s="278" t="n"/>
      <c r="D25" s="278" t="n"/>
      <c r="E25" s="278" t="n"/>
      <c r="F25" s="278" t="n"/>
      <c r="G25" s="278" t="n"/>
      <c r="H25" s="278" t="n"/>
      <c r="I25" s="278" t="n"/>
    </row>
    <row r="26">
      <c r="A26" s="278" t="n"/>
      <c r="B26" s="278" t="n"/>
      <c r="C26" s="278" t="n"/>
      <c r="D26" s="278" t="n"/>
      <c r="E26" s="278" t="n"/>
      <c r="F26" s="278" t="n"/>
      <c r="G26" s="278" t="n"/>
      <c r="H26" s="278" t="n"/>
      <c r="I26" s="278" t="n"/>
    </row>
    <row r="27">
      <c r="A27" s="278" t="n"/>
      <c r="B27" s="278" t="n"/>
      <c r="C27" s="278" t="n"/>
      <c r="D27" s="278" t="n"/>
      <c r="E27" s="278" t="n"/>
      <c r="F27" s="278" t="n"/>
      <c r="G27" s="278" t="n"/>
      <c r="H27" s="278" t="n"/>
      <c r="I27" s="278" t="n"/>
    </row>
    <row r="28">
      <c r="A28" s="278" t="n"/>
      <c r="B28" s="278" t="n"/>
      <c r="C28" s="278" t="n"/>
      <c r="D28" s="278" t="n"/>
      <c r="E28" s="278" t="n"/>
      <c r="F28" s="278" t="n"/>
      <c r="G28" s="278" t="n"/>
      <c r="H28" s="278" t="n"/>
      <c r="I28" s="278" t="n"/>
    </row>
    <row r="29">
      <c r="A29" s="278" t="n"/>
      <c r="B29" s="278" t="n"/>
      <c r="C29" s="278" t="n"/>
      <c r="D29" s="278" t="n"/>
      <c r="E29" s="278" t="n"/>
      <c r="F29" s="278" t="n"/>
      <c r="G29" s="278" t="n"/>
      <c r="H29" s="278" t="n"/>
      <c r="I29" s="278" t="n"/>
    </row>
    <row r="30">
      <c r="A30" s="278" t="n"/>
      <c r="B30" s="278" t="n"/>
      <c r="C30" s="278" t="n"/>
      <c r="D30" s="278" t="n"/>
      <c r="E30" s="278" t="n"/>
      <c r="F30" s="278" t="n"/>
      <c r="G30" s="278" t="n"/>
      <c r="H30" s="278" t="n"/>
      <c r="I30" s="278" t="n"/>
    </row>
    <row r="31">
      <c r="A31" s="278" t="n"/>
      <c r="B31" s="278" t="n"/>
      <c r="C31" s="278" t="n"/>
      <c r="D31" s="278" t="n"/>
      <c r="E31" s="278" t="n"/>
      <c r="F31" s="278" t="n"/>
      <c r="G31" s="278" t="n"/>
      <c r="H31" s="278" t="n"/>
      <c r="I31" s="278" t="n"/>
    </row>
    <row r="32">
      <c r="A32" s="278" t="n"/>
      <c r="B32" s="278" t="n"/>
      <c r="C32" s="278" t="n"/>
      <c r="D32" s="278" t="n"/>
      <c r="E32" s="278" t="n"/>
      <c r="F32" s="278" t="n"/>
      <c r="G32" s="278" t="n"/>
      <c r="H32" s="278" t="n"/>
      <c r="I32" s="278" t="n"/>
    </row>
    <row r="33">
      <c r="A33" s="278" t="n"/>
      <c r="B33" s="278" t="n"/>
      <c r="C33" s="278" t="n"/>
      <c r="D33" s="278" t="n"/>
      <c r="E33" s="278" t="n"/>
      <c r="F33" s="278" t="n"/>
      <c r="G33" s="278" t="n"/>
      <c r="H33" s="278" t="n"/>
      <c r="I33" s="278" t="n"/>
    </row>
    <row r="34">
      <c r="A34" s="278" t="n"/>
      <c r="B34" s="278" t="n"/>
      <c r="C34" s="278" t="n"/>
      <c r="D34" s="278" t="n"/>
      <c r="E34" s="278" t="n"/>
      <c r="F34" s="278" t="n"/>
      <c r="G34" s="278" t="n"/>
      <c r="H34" s="278" t="n"/>
      <c r="I34" s="278" t="n"/>
    </row>
    <row r="35">
      <c r="A35" s="278" t="n"/>
      <c r="B35" s="278" t="n"/>
      <c r="C35" s="278" t="n"/>
      <c r="D35" s="278" t="n"/>
      <c r="E35" s="278" t="n"/>
      <c r="F35" s="278" t="n"/>
      <c r="G35" s="278" t="n"/>
      <c r="H35" s="278" t="n"/>
      <c r="I35" s="278" t="n"/>
    </row>
    <row r="36">
      <c r="A36" s="278" t="n"/>
      <c r="B36" s="278" t="n"/>
      <c r="C36" s="278" t="n"/>
      <c r="D36" s="278" t="n"/>
      <c r="E36" s="278" t="n"/>
      <c r="F36" s="278" t="n"/>
      <c r="G36" s="278" t="n"/>
      <c r="H36" s="278" t="n"/>
      <c r="I36" s="278" t="n"/>
    </row>
    <row r="37">
      <c r="A37" s="278" t="n"/>
      <c r="B37" s="278" t="n"/>
      <c r="C37" s="278" t="n"/>
      <c r="D37" s="278" t="n"/>
      <c r="E37" s="278" t="n"/>
      <c r="F37" s="278" t="n"/>
      <c r="G37" s="278" t="n"/>
      <c r="H37" s="278" t="n"/>
      <c r="I37" s="278" t="n"/>
    </row>
    <row r="38">
      <c r="A38" s="278" t="n"/>
      <c r="B38" s="278" t="n"/>
      <c r="C38" s="278" t="n"/>
      <c r="D38" s="278" t="n"/>
      <c r="E38" s="278" t="n"/>
      <c r="F38" s="278" t="n"/>
      <c r="G38" s="278" t="n"/>
      <c r="H38" s="278" t="n"/>
      <c r="I38" s="278" t="n"/>
    </row>
    <row r="39">
      <c r="A39" s="278" t="n"/>
      <c r="B39" s="278" t="n"/>
      <c r="C39" s="278" t="n"/>
      <c r="D39" s="278" t="n"/>
      <c r="E39" s="278" t="n"/>
      <c r="F39" s="278" t="n"/>
      <c r="G39" s="278" t="n"/>
      <c r="H39" s="278" t="n"/>
      <c r="I39" s="278" t="n"/>
    </row>
    <row r="40">
      <c r="A40" s="278" t="n"/>
      <c r="B40" s="278" t="n"/>
      <c r="C40" s="278" t="n"/>
      <c r="D40" s="278" t="n"/>
      <c r="E40" s="278" t="n"/>
      <c r="F40" s="278" t="n"/>
      <c r="G40" s="278" t="n"/>
      <c r="H40" s="278" t="n"/>
      <c r="I40" s="278" t="n"/>
    </row>
    <row r="41">
      <c r="A41" s="278" t="n"/>
      <c r="B41" s="278" t="n"/>
      <c r="C41" s="278" t="n"/>
      <c r="D41" s="278" t="n"/>
      <c r="E41" s="278" t="n"/>
      <c r="F41" s="278" t="n"/>
      <c r="G41" s="278" t="n"/>
      <c r="H41" s="278" t="n"/>
      <c r="I41" s="278" t="n"/>
    </row>
    <row r="42">
      <c r="A42" s="278" t="n"/>
      <c r="B42" s="278" t="n"/>
      <c r="C42" s="278" t="n"/>
      <c r="D42" s="278" t="n"/>
      <c r="E42" s="278" t="n"/>
      <c r="F42" s="278" t="n"/>
      <c r="G42" s="278" t="n"/>
      <c r="H42" s="278" t="n"/>
      <c r="I42" s="278" t="n"/>
    </row>
    <row r="43">
      <c r="A43" s="278" t="n"/>
      <c r="B43" s="278" t="n"/>
      <c r="C43" s="278" t="n"/>
      <c r="D43" s="278" t="n"/>
      <c r="E43" s="278" t="n"/>
      <c r="F43" s="278" t="n"/>
      <c r="G43" s="278" t="n"/>
      <c r="H43" s="278" t="n"/>
      <c r="I43" s="278" t="n"/>
    </row>
    <row r="44">
      <c r="A44" s="278" t="n"/>
      <c r="B44" s="278" t="n"/>
      <c r="C44" s="278" t="n"/>
      <c r="D44" s="278" t="n"/>
      <c r="E44" s="278" t="n"/>
      <c r="F44" s="278" t="n"/>
      <c r="G44" s="278" t="n"/>
      <c r="H44" s="278" t="n"/>
      <c r="I44" s="278" t="n"/>
    </row>
    <row r="45">
      <c r="A45" s="278" t="n"/>
      <c r="B45" s="278" t="n"/>
      <c r="C45" s="278" t="n"/>
      <c r="D45" s="278" t="n"/>
      <c r="E45" s="278" t="n"/>
      <c r="F45" s="278" t="n"/>
      <c r="G45" s="278" t="n"/>
      <c r="H45" s="278" t="n"/>
      <c r="I45" s="278" t="n"/>
    </row>
    <row r="46">
      <c r="A46" s="278" t="n"/>
      <c r="B46" s="278" t="n"/>
      <c r="C46" s="278" t="n"/>
      <c r="D46" s="278" t="n"/>
      <c r="E46" s="278" t="n"/>
      <c r="F46" s="278" t="n"/>
      <c r="G46" s="278" t="n"/>
      <c r="H46" s="278" t="n"/>
      <c r="I46" s="278" t="n"/>
    </row>
    <row r="47">
      <c r="A47" s="278" t="n"/>
      <c r="B47" s="278" t="n"/>
      <c r="C47" s="278" t="n"/>
      <c r="D47" s="278" t="n"/>
      <c r="E47" s="278" t="n"/>
      <c r="F47" s="278" t="n"/>
      <c r="G47" s="278" t="n"/>
      <c r="H47" s="278" t="n"/>
      <c r="I47" s="278" t="n"/>
    </row>
    <row r="48">
      <c r="A48" s="278" t="n"/>
      <c r="B48" s="278" t="n"/>
      <c r="C48" s="278" t="n"/>
      <c r="D48" s="278" t="n"/>
      <c r="E48" s="278" t="n"/>
      <c r="F48" s="278" t="n"/>
      <c r="G48" s="278" t="n"/>
      <c r="H48" s="278" t="n"/>
      <c r="I48" s="278" t="n"/>
    </row>
    <row r="49">
      <c r="A49" s="278" t="n"/>
      <c r="B49" s="278" t="n"/>
      <c r="C49" s="278" t="n"/>
      <c r="D49" s="278" t="n"/>
      <c r="E49" s="278" t="n"/>
      <c r="F49" s="278" t="n"/>
      <c r="G49" s="278" t="n"/>
      <c r="H49" s="278" t="n"/>
      <c r="I49" s="278" t="n"/>
    </row>
    <row r="50">
      <c r="A50" s="278" t="n"/>
      <c r="B50" s="278" t="n"/>
      <c r="C50" s="278" t="n"/>
      <c r="D50" s="278" t="n"/>
      <c r="E50" s="278" t="n"/>
      <c r="F50" s="278" t="n"/>
      <c r="G50" s="278" t="n"/>
      <c r="H50" s="278" t="n"/>
      <c r="I50" s="278" t="n"/>
    </row>
    <row r="51">
      <c r="A51" s="278" t="n"/>
      <c r="B51" s="278" t="n"/>
      <c r="C51" s="278" t="n"/>
      <c r="D51" s="278" t="n"/>
      <c r="E51" s="278" t="n"/>
      <c r="F51" s="278" t="n"/>
      <c r="G51" s="278" t="n"/>
      <c r="H51" s="278" t="n"/>
      <c r="I51" s="278" t="n"/>
    </row>
    <row r="52">
      <c r="A52" s="278" t="n"/>
      <c r="B52" s="278" t="n"/>
      <c r="C52" s="278" t="n"/>
      <c r="D52" s="278" t="n"/>
      <c r="E52" s="278" t="n"/>
      <c r="F52" s="278" t="n"/>
      <c r="G52" s="278" t="n"/>
      <c r="H52" s="278" t="n"/>
      <c r="I52" s="278" t="n"/>
    </row>
    <row r="53">
      <c r="A53" s="278" t="n"/>
      <c r="B53" s="278" t="n"/>
      <c r="C53" s="278" t="n"/>
      <c r="D53" s="278" t="n"/>
      <c r="E53" s="278" t="n"/>
      <c r="F53" s="278" t="n"/>
      <c r="G53" s="278" t="n"/>
      <c r="H53" s="278" t="n"/>
      <c r="I53" s="278" t="n"/>
    </row>
    <row r="54">
      <c r="A54" s="278" t="n"/>
      <c r="B54" s="278" t="n"/>
      <c r="C54" s="278" t="n"/>
      <c r="D54" s="278" t="n"/>
      <c r="E54" s="278" t="n"/>
      <c r="F54" s="278" t="n"/>
      <c r="G54" s="278" t="n"/>
      <c r="H54" s="278" t="n"/>
      <c r="I54" s="278" t="n"/>
    </row>
    <row r="55">
      <c r="A55" s="278" t="n"/>
      <c r="B55" s="278" t="n"/>
      <c r="C55" s="278" t="n"/>
      <c r="D55" s="278" t="n"/>
      <c r="E55" s="278" t="n"/>
      <c r="F55" s="278" t="n"/>
      <c r="G55" s="278" t="n"/>
      <c r="H55" s="278" t="n"/>
      <c r="I55" s="278" t="n"/>
    </row>
    <row r="56">
      <c r="A56" s="278" t="n"/>
      <c r="B56" s="278" t="n"/>
      <c r="C56" s="278" t="n"/>
      <c r="D56" s="278" t="n"/>
      <c r="E56" s="278" t="n"/>
      <c r="F56" s="278" t="n"/>
      <c r="G56" s="278" t="n"/>
      <c r="H56" s="278" t="n"/>
      <c r="I56" s="278" t="n"/>
    </row>
    <row r="57">
      <c r="A57" s="278" t="n"/>
      <c r="B57" s="278" t="n"/>
      <c r="C57" s="278" t="n"/>
      <c r="D57" s="278" t="n"/>
      <c r="E57" s="278" t="n"/>
      <c r="F57" s="278" t="n"/>
      <c r="G57" s="278" t="n"/>
      <c r="H57" s="278" t="n"/>
      <c r="I57" s="278" t="n"/>
    </row>
    <row r="58">
      <c r="A58" s="278" t="n"/>
      <c r="B58" s="278" t="n"/>
      <c r="C58" s="278" t="n"/>
      <c r="D58" s="278" t="n"/>
      <c r="E58" s="278" t="n"/>
      <c r="F58" s="278" t="n"/>
      <c r="G58" s="278" t="n"/>
      <c r="H58" s="278" t="n"/>
      <c r="I58" s="278" t="n"/>
    </row>
    <row r="59">
      <c r="A59" s="278" t="n"/>
      <c r="B59" s="278" t="n"/>
      <c r="C59" s="278" t="n"/>
      <c r="D59" s="278" t="n"/>
      <c r="E59" s="278" t="n"/>
      <c r="F59" s="278" t="n"/>
      <c r="G59" s="278" t="n"/>
      <c r="H59" s="278" t="n"/>
      <c r="I59" s="278" t="n"/>
    </row>
    <row r="60">
      <c r="A60" s="278" t="n"/>
      <c r="B60" s="278" t="n"/>
      <c r="C60" s="278" t="n"/>
      <c r="D60" s="278" t="n"/>
      <c r="E60" s="278" t="n"/>
      <c r="F60" s="278" t="n"/>
      <c r="G60" s="278" t="n"/>
      <c r="H60" s="278" t="n"/>
      <c r="I60" s="278" t="n"/>
    </row>
    <row r="61">
      <c r="A61" s="278" t="n"/>
      <c r="B61" s="278" t="n"/>
      <c r="C61" s="278" t="n"/>
      <c r="D61" s="278" t="n"/>
      <c r="E61" s="278" t="n"/>
      <c r="F61" s="278" t="n"/>
      <c r="G61" s="278" t="n"/>
      <c r="H61" s="278" t="n"/>
      <c r="I61" s="278" t="n"/>
    </row>
    <row r="62">
      <c r="A62" s="278" t="n"/>
      <c r="B62" s="278" t="n"/>
      <c r="C62" s="278" t="n"/>
      <c r="D62" s="278" t="n"/>
      <c r="E62" s="278" t="n"/>
      <c r="F62" s="278" t="n"/>
      <c r="G62" s="278" t="n"/>
      <c r="H62" s="278" t="n"/>
      <c r="I62" s="278" t="n"/>
    </row>
    <row r="63">
      <c r="A63" s="278" t="n"/>
      <c r="B63" s="278" t="n"/>
      <c r="C63" s="278" t="n"/>
      <c r="D63" s="278" t="n"/>
      <c r="E63" s="278" t="n"/>
      <c r="F63" s="278" t="n"/>
      <c r="G63" s="278" t="n"/>
      <c r="H63" s="278" t="n"/>
      <c r="I63" s="278" t="n"/>
    </row>
    <row r="64">
      <c r="A64" s="278" t="n"/>
      <c r="B64" s="278" t="n"/>
      <c r="C64" s="278" t="n"/>
      <c r="D64" s="278" t="n"/>
      <c r="E64" s="278" t="n"/>
      <c r="F64" s="278" t="n"/>
      <c r="G64" s="278" t="n"/>
      <c r="H64" s="278" t="n"/>
      <c r="I64" s="278" t="n"/>
    </row>
    <row r="65">
      <c r="A65" s="278" t="n"/>
      <c r="B65" s="278" t="n"/>
      <c r="C65" s="278" t="n"/>
      <c r="D65" s="278" t="n"/>
      <c r="E65" s="278" t="n"/>
      <c r="F65" s="278" t="n"/>
      <c r="G65" s="278" t="n"/>
      <c r="H65" s="278" t="n"/>
      <c r="I65" s="278" t="n"/>
    </row>
    <row r="66">
      <c r="A66" s="278" t="n"/>
      <c r="B66" s="278" t="n"/>
      <c r="C66" s="278" t="n"/>
      <c r="D66" s="278" t="n"/>
      <c r="E66" s="278" t="n"/>
      <c r="F66" s="278" t="n"/>
      <c r="G66" s="278" t="n"/>
      <c r="H66" s="278" t="n"/>
      <c r="I66" s="278" t="n"/>
    </row>
    <row r="67">
      <c r="A67" s="278" t="n"/>
      <c r="B67" s="278" t="n"/>
      <c r="C67" s="278" t="n"/>
      <c r="D67" s="278" t="n"/>
      <c r="E67" s="278" t="n"/>
      <c r="F67" s="278" t="n"/>
      <c r="G67" s="278" t="n"/>
      <c r="H67" s="278" t="n"/>
      <c r="I67" s="278" t="n"/>
    </row>
    <row r="68">
      <c r="A68" s="278" t="n"/>
      <c r="B68" s="278" t="n"/>
      <c r="C68" s="278" t="n"/>
      <c r="D68" s="278" t="n"/>
      <c r="E68" s="278" t="n"/>
      <c r="F68" s="278" t="n"/>
      <c r="G68" s="278" t="n"/>
      <c r="H68" s="278" t="n"/>
      <c r="I68" s="278" t="n"/>
    </row>
    <row r="69">
      <c r="A69" s="278" t="n"/>
      <c r="B69" s="278" t="n"/>
      <c r="C69" s="278" t="n"/>
      <c r="D69" s="278" t="n"/>
      <c r="E69" s="278" t="n"/>
      <c r="F69" s="278" t="n"/>
      <c r="G69" s="278" t="n"/>
      <c r="H69" s="278" t="n"/>
      <c r="I69" s="278" t="n"/>
    </row>
    <row r="70">
      <c r="A70" s="278" t="n"/>
      <c r="B70" s="278" t="n"/>
      <c r="C70" s="278" t="n"/>
      <c r="D70" s="278" t="n"/>
      <c r="E70" s="278" t="n"/>
      <c r="F70" s="278" t="n"/>
      <c r="G70" s="278" t="n"/>
      <c r="H70" s="278" t="n"/>
      <c r="I70" s="278" t="n"/>
    </row>
    <row r="71">
      <c r="A71" s="278" t="n"/>
      <c r="B71" s="278" t="n"/>
      <c r="C71" s="278" t="n"/>
      <c r="D71" s="278" t="n"/>
      <c r="E71" s="278" t="n"/>
      <c r="F71" s="278" t="n"/>
      <c r="G71" s="278" t="n"/>
      <c r="H71" s="278" t="n"/>
      <c r="I71" s="278" t="n"/>
    </row>
    <row r="72">
      <c r="A72" s="279" t="inlineStr">
        <is>
          <t>Number of Students Attempted</t>
        </is>
      </c>
      <c r="B72" s="278" t="n"/>
      <c r="C72" s="278" t="n"/>
      <c r="D72" s="283">
        <f>COUNTA(D4:D71)</f>
        <v/>
      </c>
      <c r="E72" s="283">
        <f>COUNTA(E4:E71)</f>
        <v/>
      </c>
      <c r="F72" s="283">
        <f>COUNTA(F4:F71)</f>
        <v/>
      </c>
      <c r="G72" s="283">
        <f>COUNTA(G4:G71)</f>
        <v/>
      </c>
      <c r="H72" s="283">
        <f>COUNTA(H4:H71)</f>
        <v/>
      </c>
      <c r="I72" s="283">
        <f>COUNTA(I4:I71)</f>
        <v/>
      </c>
    </row>
    <row r="73">
      <c r="A73" s="279" t="inlineStr">
        <is>
          <t>Number of students who got more than 65% of marks</t>
        </is>
      </c>
      <c r="B73" s="278" t="n"/>
      <c r="C73" s="278" t="n"/>
      <c r="D73" s="283">
        <f>COUNTIF(D4:D71,"&gt;="&amp;0.65*D2)</f>
        <v/>
      </c>
      <c r="E73" s="283">
        <f>COUNTIF(E4:E71,"&gt;="&amp;0.65*E2)</f>
        <v/>
      </c>
      <c r="F73" s="283">
        <f>COUNTIF(F4:F71,"&gt;="&amp;0.65*F2)</f>
        <v/>
      </c>
      <c r="G73" s="283">
        <f>COUNTIF(G4:G71,"&gt;="&amp;0.65*G2)</f>
        <v/>
      </c>
      <c r="H73" s="283">
        <f>COUNTIF(H4:H71,"&gt;="&amp;0.65*H2)</f>
        <v/>
      </c>
      <c r="I73" s="283">
        <f>COUNTIF(I4:I71,"&gt;="&amp;0.65*I2)</f>
        <v/>
      </c>
    </row>
    <row r="74">
      <c r="A74" s="279" t="inlineStr">
        <is>
          <t>Percentage of students who got more than 65% of marks</t>
        </is>
      </c>
      <c r="B74" s="278" t="n"/>
      <c r="C74" s="278" t="n"/>
      <c r="D74" s="283">
        <f>IF(D72&gt;0,ROUND(D73/D72*100,2),"-")</f>
        <v/>
      </c>
      <c r="E74" s="283">
        <f>IF(E72&gt;0,ROUND(E73/E72*100,2),"-")</f>
        <v/>
      </c>
      <c r="F74" s="283">
        <f>IF(F72&gt;0,ROUND(F73/F72*100,2),"-")</f>
        <v/>
      </c>
      <c r="G74" s="283">
        <f>IF(G72&gt;0,ROUND(G73/G72*100,2),"-")</f>
        <v/>
      </c>
      <c r="H74" s="283">
        <f>IF(H72&gt;0,ROUND(H73/H72*100,2),"-")</f>
        <v/>
      </c>
      <c r="I74" s="283">
        <f>IF(I72&gt;0,ROUND(I73/I72*100,2),"-")</f>
        <v/>
      </c>
    </row>
    <row r="75">
      <c r="A75" s="279" t="inlineStr">
        <is>
          <t xml:space="preserve"> CO Attainment Level (&gt;=85:3,&gt;=75:2,&gt;=65:1,&lt;65:0)</t>
        </is>
      </c>
      <c r="B75" s="278" t="n"/>
      <c r="C75" s="278" t="n"/>
      <c r="D75" s="283">
        <f>IF(D72&gt;0,(IF(D74&gt;=85,3,IF(D74&gt;=75,2,IF(D74&gt;=65,1,0)))),"-")</f>
        <v/>
      </c>
      <c r="E75" s="283">
        <f>IF(E72&gt;0,(IF(E74&gt;=85,3,IF(E74&gt;=75,2,IF(E74&gt;=65,1,0)))),"-")</f>
        <v/>
      </c>
      <c r="F75" s="283">
        <f>IF(F72&gt;0,(IF(F74&gt;=85,3,IF(F74&gt;=75,2,IF(F74&gt;=65,1,0)))),"-")</f>
        <v/>
      </c>
      <c r="G75" s="283">
        <f>IF(G72&gt;0,(IF(G74&gt;=85,3,IF(G74&gt;=75,2,IF(G74&gt;=65,1,0)))),"-")</f>
        <v/>
      </c>
      <c r="H75" s="283">
        <f>IF(H72&gt;0,(IF(H74&gt;=85,3,IF(H74&gt;=75,2,IF(H74&gt;=65,1,0)))),"-")</f>
        <v/>
      </c>
      <c r="I75" s="283">
        <f>IF(I72&gt;0,(IF(I74&gt;=85,3,IF(I74&gt;=75,2,IF(I74&gt;=65,1,0)))),"-")</f>
        <v/>
      </c>
    </row>
  </sheetData>
  <mergeCells count="6">
    <mergeCell ref="A2:B2"/>
    <mergeCell ref="A75:C75"/>
    <mergeCell ref="A74:C74"/>
    <mergeCell ref="A1:I1"/>
    <mergeCell ref="A73:C73"/>
    <mergeCell ref="A72:C7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00"/>
  <sheetViews>
    <sheetView showGridLines="0" workbookViewId="0">
      <selection activeCell="A1" sqref="A1:C1"/>
    </sheetView>
  </sheetViews>
  <sheetFormatPr baseColWidth="8" defaultColWidth="12.6640625" defaultRowHeight="15" customHeight="1"/>
  <cols>
    <col width="14.88671875" customWidth="1" style="1" min="1" max="1"/>
    <col width="29.33203125" customWidth="1" style="1" min="2" max="2"/>
    <col width="49.44140625" customWidth="1" style="1" min="3" max="3"/>
    <col width="19" customWidth="1" style="1" min="4" max="4"/>
    <col width="10" customWidth="1" style="1" min="5" max="5"/>
    <col width="12.6640625" customWidth="1" style="1" min="6" max="7"/>
    <col width="12.6640625" customWidth="1" style="1" min="8" max="16384"/>
  </cols>
  <sheetData>
    <row r="1" ht="45.75" customHeight="1" s="1">
      <c r="A1" s="259" t="inlineStr">
        <is>
          <t>SRM INSTITUTE OF SCIENCE AND TECHNOLOGY
VADAPALANI CAMPUS
Department of Computer Science &amp; Engineering</t>
        </is>
      </c>
      <c r="B1" s="224" t="n"/>
      <c r="C1" s="225" t="n"/>
      <c r="D1" s="194" t="n"/>
      <c r="E1" s="194" t="n"/>
    </row>
    <row r="2" ht="20.25" customHeight="1" s="1">
      <c r="A2" s="151" t="inlineStr">
        <is>
          <t>Subject code</t>
        </is>
      </c>
      <c r="B2" s="257" t="n"/>
      <c r="C2" s="258" t="n"/>
      <c r="D2" s="75" t="n"/>
      <c r="E2" s="194" t="n"/>
    </row>
    <row r="3" ht="20.25" customHeight="1" s="1">
      <c r="A3" s="151" t="inlineStr">
        <is>
          <t>Subject Name</t>
        </is>
      </c>
      <c r="B3" s="152" t="n"/>
      <c r="C3" s="153" t="n"/>
      <c r="D3" s="75" t="n"/>
      <c r="E3" s="194" t="n"/>
    </row>
    <row r="4" ht="20.25" customHeight="1" s="1">
      <c r="A4" s="151" t="inlineStr">
        <is>
          <t>Year &amp; Sem</t>
        </is>
      </c>
      <c r="B4" s="253" t="n"/>
      <c r="C4" s="217" t="n"/>
      <c r="D4" s="75" t="n"/>
      <c r="E4" s="194" t="n"/>
    </row>
    <row r="5" ht="20.25" customHeight="1" s="1">
      <c r="A5" s="151" t="inlineStr">
        <is>
          <t>Academic Year</t>
        </is>
      </c>
      <c r="B5" s="253" t="n"/>
      <c r="C5" s="217" t="n"/>
      <c r="D5" s="75" t="n"/>
      <c r="E5" s="194" t="n"/>
    </row>
    <row r="6" ht="34.5" customHeight="1" s="1">
      <c r="A6" s="154" t="inlineStr">
        <is>
          <t>Name of the Faculty</t>
        </is>
      </c>
      <c r="B6" s="253" t="n"/>
      <c r="C6" s="217" t="n"/>
      <c r="D6" s="155" t="n"/>
      <c r="E6" s="156" t="n"/>
    </row>
    <row r="7" ht="12" customHeight="1" s="1">
      <c r="A7" s="264" t="inlineStr">
        <is>
          <t>Sl. No</t>
        </is>
      </c>
      <c r="B7" s="264" t="inlineStr">
        <is>
          <t>Roll No</t>
        </is>
      </c>
      <c r="C7" s="264" t="inlineStr">
        <is>
          <t>Student Name</t>
        </is>
      </c>
      <c r="D7" s="260" t="inlineStr">
        <is>
          <t>University results</t>
        </is>
      </c>
      <c r="E7" s="260" t="inlineStr">
        <is>
          <t>Points</t>
        </is>
      </c>
    </row>
    <row r="8" ht="12" customHeight="1" s="1">
      <c r="A8" s="265" t="n"/>
      <c r="B8" s="265" t="n"/>
      <c r="C8" s="265" t="n"/>
      <c r="D8" s="219" t="n"/>
      <c r="E8" s="219" t="n"/>
    </row>
    <row r="9" ht="20.25" customHeight="1" s="1">
      <c r="A9" s="139" t="n"/>
      <c r="B9" s="140" t="n"/>
      <c r="C9" s="143" t="n"/>
      <c r="D9" s="157" t="n"/>
      <c r="E9" s="160" t="n"/>
    </row>
    <row r="10" ht="20.25" customHeight="1" s="1">
      <c r="A10" s="139" t="n"/>
      <c r="B10" s="141" t="n"/>
      <c r="C10" s="143" t="n"/>
      <c r="D10" s="157" t="n"/>
      <c r="E10" s="160" t="n"/>
    </row>
    <row r="11" ht="20.25" customHeight="1" s="1">
      <c r="A11" s="139" t="n"/>
      <c r="B11" s="141" t="n"/>
      <c r="C11" s="143" t="n"/>
      <c r="D11" s="157" t="n"/>
      <c r="E11" s="160" t="n"/>
    </row>
    <row r="12" ht="20.25" customHeight="1" s="1">
      <c r="A12" s="139" t="n"/>
      <c r="B12" s="141" t="n"/>
      <c r="C12" s="143" t="n"/>
      <c r="D12" s="157" t="n"/>
      <c r="E12" s="160" t="n"/>
    </row>
    <row r="13" ht="20.25" customHeight="1" s="1">
      <c r="A13" s="139" t="n"/>
      <c r="B13" s="141" t="n"/>
      <c r="C13" s="143" t="n"/>
      <c r="D13" s="157" t="n"/>
      <c r="E13" s="160" t="n"/>
    </row>
    <row r="14" ht="20.25" customHeight="1" s="1">
      <c r="A14" s="139" t="n"/>
      <c r="B14" s="141" t="n"/>
      <c r="C14" s="143" t="n"/>
      <c r="D14" s="157" t="n"/>
      <c r="E14" s="160" t="n"/>
    </row>
    <row r="15" ht="20.25" customHeight="1" s="1">
      <c r="A15" s="139" t="n"/>
      <c r="B15" s="141" t="n"/>
      <c r="C15" s="143" t="n"/>
      <c r="D15" s="157" t="n"/>
      <c r="E15" s="160" t="n"/>
    </row>
    <row r="16" ht="20.25" customHeight="1" s="1">
      <c r="A16" s="139" t="n"/>
      <c r="B16" s="141" t="n"/>
      <c r="C16" s="143" t="n"/>
      <c r="D16" s="157" t="n"/>
      <c r="E16" s="160" t="n"/>
    </row>
    <row r="17" ht="20.25" customHeight="1" s="1">
      <c r="A17" s="139" t="n"/>
      <c r="B17" s="141" t="n"/>
      <c r="C17" s="143" t="n"/>
      <c r="D17" s="157" t="n"/>
      <c r="E17" s="160" t="n"/>
    </row>
    <row r="18" ht="20.25" customHeight="1" s="1">
      <c r="A18" s="139" t="n"/>
      <c r="B18" s="141" t="n"/>
      <c r="C18" s="143" t="n"/>
      <c r="D18" s="157" t="n"/>
      <c r="E18" s="160" t="n"/>
    </row>
    <row r="19" ht="20.25" customHeight="1" s="1">
      <c r="A19" s="139" t="n"/>
      <c r="B19" s="141" t="n"/>
      <c r="C19" s="143" t="n"/>
      <c r="D19" s="157" t="n"/>
      <c r="E19" s="160" t="n"/>
    </row>
    <row r="20" ht="20.25" customHeight="1" s="1">
      <c r="A20" s="139" t="n"/>
      <c r="B20" s="141" t="n"/>
      <c r="C20" s="143" t="n"/>
      <c r="D20" s="157" t="n"/>
      <c r="E20" s="160" t="n"/>
    </row>
    <row r="21" ht="20.25" customHeight="1" s="1">
      <c r="A21" s="139" t="n"/>
      <c r="B21" s="141" t="n"/>
      <c r="C21" s="143" t="n"/>
      <c r="D21" s="157" t="n"/>
      <c r="E21" s="160" t="n"/>
    </row>
    <row r="22" ht="20.25" customHeight="1" s="1">
      <c r="A22" s="139" t="n"/>
      <c r="B22" s="141" t="n"/>
      <c r="C22" s="143" t="n"/>
      <c r="D22" s="157" t="n"/>
      <c r="E22" s="160" t="n"/>
    </row>
    <row r="23" ht="20.25" customHeight="1" s="1">
      <c r="A23" s="139" t="n"/>
      <c r="B23" s="141" t="n"/>
      <c r="C23" s="143" t="n"/>
      <c r="D23" s="157" t="n"/>
      <c r="E23" s="160" t="n"/>
    </row>
    <row r="24" ht="20.25" customHeight="1" s="1">
      <c r="A24" s="139" t="n"/>
      <c r="B24" s="141" t="n"/>
      <c r="C24" s="143" t="n"/>
      <c r="D24" s="157" t="n"/>
      <c r="E24" s="160" t="n"/>
    </row>
    <row r="25" ht="20.25" customHeight="1" s="1">
      <c r="A25" s="139" t="n"/>
      <c r="B25" s="141" t="n"/>
      <c r="C25" s="143" t="n"/>
      <c r="D25" s="157" t="n"/>
      <c r="E25" s="160" t="n"/>
    </row>
    <row r="26" ht="20.25" customHeight="1" s="1">
      <c r="A26" s="139" t="n"/>
      <c r="B26" s="141" t="n"/>
      <c r="C26" s="143" t="n"/>
      <c r="D26" s="157" t="n"/>
      <c r="E26" s="160" t="n"/>
    </row>
    <row r="27" ht="20.25" customHeight="1" s="1">
      <c r="A27" s="139" t="n"/>
      <c r="B27" s="141" t="n"/>
      <c r="C27" s="143" t="n"/>
      <c r="D27" s="157" t="n"/>
      <c r="E27" s="160" t="n"/>
    </row>
    <row r="28" ht="20.25" customHeight="1" s="1">
      <c r="A28" s="139" t="n"/>
      <c r="B28" s="141" t="n"/>
      <c r="C28" s="143" t="n"/>
      <c r="D28" s="157" t="n"/>
      <c r="E28" s="160" t="n"/>
    </row>
    <row r="29" ht="20.25" customHeight="1" s="1">
      <c r="A29" s="139" t="n"/>
      <c r="B29" s="141" t="n"/>
      <c r="C29" s="143" t="n"/>
      <c r="D29" s="157" t="n"/>
      <c r="E29" s="160" t="n"/>
    </row>
    <row r="30" ht="20.25" customHeight="1" s="1">
      <c r="A30" s="139" t="n"/>
      <c r="B30" s="141" t="n"/>
      <c r="C30" s="143" t="n"/>
      <c r="D30" s="157" t="n"/>
      <c r="E30" s="160" t="n"/>
    </row>
    <row r="31" ht="20.25" customHeight="1" s="1">
      <c r="A31" s="139" t="n"/>
      <c r="B31" s="141" t="n"/>
      <c r="C31" s="143" t="n"/>
      <c r="D31" s="157" t="n"/>
      <c r="E31" s="160" t="n"/>
    </row>
    <row r="32" ht="20.25" customHeight="1" s="1">
      <c r="A32" s="139" t="n"/>
      <c r="B32" s="141" t="n"/>
      <c r="C32" s="143" t="n"/>
      <c r="D32" s="157" t="n"/>
      <c r="E32" s="160" t="n"/>
    </row>
    <row r="33" ht="20.25" customHeight="1" s="1">
      <c r="A33" s="139" t="n"/>
      <c r="B33" s="141" t="n"/>
      <c r="C33" s="143" t="n"/>
      <c r="D33" s="157" t="n"/>
      <c r="E33" s="160" t="n"/>
    </row>
    <row r="34" ht="20.25" customHeight="1" s="1">
      <c r="A34" s="139" t="n"/>
      <c r="B34" s="141" t="n"/>
      <c r="C34" s="143" t="n"/>
      <c r="D34" s="157" t="n"/>
      <c r="E34" s="160" t="n"/>
    </row>
    <row r="35" ht="20.25" customHeight="1" s="1">
      <c r="A35" s="139" t="n"/>
      <c r="B35" s="141" t="n"/>
      <c r="C35" s="143" t="n"/>
      <c r="D35" s="157" t="n"/>
      <c r="E35" s="160" t="n"/>
    </row>
    <row r="36" ht="20.25" customHeight="1" s="1">
      <c r="A36" s="139" t="n"/>
      <c r="B36" s="141" t="n"/>
      <c r="C36" s="145" t="n"/>
      <c r="D36" s="157" t="n"/>
      <c r="E36" s="160" t="n"/>
    </row>
    <row r="37" ht="20.25" customHeight="1" s="1">
      <c r="A37" s="139" t="n"/>
      <c r="B37" s="141" t="n"/>
      <c r="C37" s="143" t="n"/>
      <c r="D37" s="157" t="n"/>
      <c r="E37" s="160" t="n"/>
    </row>
    <row r="38" ht="20.25" customHeight="1" s="1">
      <c r="A38" s="139" t="n"/>
      <c r="B38" s="141" t="n"/>
      <c r="C38" s="143" t="n"/>
      <c r="D38" s="157" t="n"/>
      <c r="E38" s="160" t="n"/>
    </row>
    <row r="39" ht="20.25" customHeight="1" s="1">
      <c r="A39" s="139" t="n"/>
      <c r="B39" s="141" t="n"/>
      <c r="C39" s="143" t="n"/>
      <c r="D39" s="157" t="n"/>
      <c r="E39" s="160" t="n"/>
    </row>
    <row r="40" ht="20.25" customHeight="1" s="1">
      <c r="A40" s="139" t="n"/>
      <c r="B40" s="141" t="n"/>
      <c r="C40" s="143" t="n"/>
      <c r="D40" s="157" t="n"/>
      <c r="E40" s="160" t="n"/>
    </row>
    <row r="41" ht="20.25" customHeight="1" s="1">
      <c r="A41" s="139" t="n"/>
      <c r="B41" s="141" t="n"/>
      <c r="C41" s="143" t="n"/>
      <c r="D41" s="157" t="n"/>
      <c r="E41" s="160" t="n"/>
    </row>
    <row r="42" ht="20.25" customHeight="1" s="1">
      <c r="A42" s="139" t="n"/>
      <c r="B42" s="141" t="n"/>
      <c r="C42" s="143" t="n"/>
      <c r="D42" s="157" t="n"/>
      <c r="E42" s="160" t="n"/>
    </row>
    <row r="43" ht="20.25" customHeight="1" s="1">
      <c r="A43" s="139" t="n"/>
      <c r="B43" s="141" t="n"/>
      <c r="C43" s="143" t="n"/>
      <c r="D43" s="157" t="n"/>
      <c r="E43" s="160" t="n"/>
    </row>
    <row r="44" ht="20.25" customHeight="1" s="1">
      <c r="A44" s="139" t="n"/>
      <c r="B44" s="141" t="n"/>
      <c r="C44" s="143" t="n"/>
      <c r="D44" s="157" t="n"/>
      <c r="E44" s="160" t="n"/>
    </row>
    <row r="45" ht="20.25" customHeight="1" s="1">
      <c r="A45" s="139" t="n"/>
      <c r="B45" s="141" t="n"/>
      <c r="C45" s="143" t="n"/>
      <c r="D45" s="157" t="n"/>
      <c r="E45" s="160" t="n"/>
    </row>
    <row r="46" ht="20.25" customHeight="1" s="1">
      <c r="A46" s="139" t="n"/>
      <c r="B46" s="141" t="n"/>
      <c r="C46" s="143" t="n"/>
      <c r="D46" s="157" t="n"/>
      <c r="E46" s="160" t="n"/>
    </row>
    <row r="47" ht="20.25" customHeight="1" s="1">
      <c r="A47" s="139" t="n"/>
      <c r="B47" s="141" t="n"/>
      <c r="C47" s="143" t="n"/>
      <c r="D47" s="157" t="n"/>
      <c r="E47" s="160" t="n"/>
    </row>
    <row r="48" ht="20.25" customHeight="1" s="1">
      <c r="A48" s="139" t="n"/>
      <c r="B48" s="141" t="n"/>
      <c r="C48" s="143" t="n"/>
      <c r="D48" s="157" t="n"/>
      <c r="E48" s="160" t="n"/>
    </row>
    <row r="49" ht="20.25" customHeight="1" s="1">
      <c r="A49" s="139" t="n"/>
      <c r="B49" s="141" t="n"/>
      <c r="C49" s="143" t="n"/>
      <c r="D49" s="157" t="n"/>
      <c r="E49" s="160" t="n"/>
    </row>
    <row r="50" ht="20.25" customHeight="1" s="1">
      <c r="A50" s="139" t="n"/>
      <c r="B50" s="141" t="n"/>
      <c r="C50" s="143" t="n"/>
      <c r="D50" s="157" t="n"/>
      <c r="E50" s="160" t="n"/>
    </row>
    <row r="51" ht="20.25" customHeight="1" s="1">
      <c r="A51" s="139" t="n"/>
      <c r="B51" s="141" t="n"/>
      <c r="C51" s="143" t="n"/>
      <c r="D51" s="157" t="n"/>
      <c r="E51" s="160" t="n"/>
    </row>
    <row r="52" ht="20.25" customHeight="1" s="1">
      <c r="A52" s="139" t="n"/>
      <c r="B52" s="141" t="n"/>
      <c r="C52" s="143" t="n"/>
      <c r="D52" s="157" t="n"/>
      <c r="E52" s="160" t="n"/>
    </row>
    <row r="53" ht="20.25" customHeight="1" s="1">
      <c r="A53" s="139" t="n"/>
      <c r="B53" s="141" t="n"/>
      <c r="C53" s="143" t="n"/>
      <c r="D53" s="157" t="n"/>
      <c r="E53" s="160" t="n"/>
    </row>
    <row r="54" ht="20.25" customHeight="1" s="1">
      <c r="A54" s="139" t="n"/>
      <c r="B54" s="141" t="n"/>
      <c r="C54" s="143" t="n"/>
      <c r="D54" s="157" t="n"/>
      <c r="E54" s="160" t="n"/>
    </row>
    <row r="55" ht="20.25" customHeight="1" s="1">
      <c r="A55" s="139" t="n"/>
      <c r="B55" s="141" t="n"/>
      <c r="C55" s="143" t="n"/>
      <c r="D55" s="157" t="n"/>
      <c r="E55" s="160" t="n"/>
    </row>
    <row r="56" ht="20.25" customHeight="1" s="1">
      <c r="A56" s="139" t="n"/>
      <c r="B56" s="141" t="n"/>
      <c r="C56" s="143" t="n"/>
      <c r="D56" s="157" t="n"/>
      <c r="E56" s="160" t="n"/>
    </row>
    <row r="57" ht="20.25" customHeight="1" s="1">
      <c r="A57" s="139" t="n"/>
      <c r="B57" s="141" t="n"/>
      <c r="C57" s="143" t="n"/>
      <c r="D57" s="157" t="n"/>
      <c r="E57" s="160" t="n"/>
    </row>
    <row r="58" ht="20.25" customHeight="1" s="1">
      <c r="A58" s="139" t="n"/>
      <c r="B58" s="141" t="n"/>
      <c r="C58" s="143" t="n"/>
      <c r="D58" s="157" t="n"/>
      <c r="E58" s="160" t="n"/>
    </row>
    <row r="59" ht="20.25" customHeight="1" s="1">
      <c r="A59" s="139" t="n"/>
      <c r="B59" s="141" t="n"/>
      <c r="C59" s="143" t="n"/>
      <c r="D59" s="157" t="n"/>
      <c r="E59" s="160" t="n"/>
    </row>
    <row r="60" ht="20.25" customHeight="1" s="1">
      <c r="A60" s="139" t="n"/>
      <c r="B60" s="141" t="n"/>
      <c r="C60" s="143" t="n"/>
      <c r="D60" s="157" t="n"/>
      <c r="E60" s="160" t="n"/>
    </row>
    <row r="61" ht="20.25" customHeight="1" s="1">
      <c r="A61" s="139" t="n"/>
      <c r="B61" s="141" t="n"/>
      <c r="C61" s="143" t="n"/>
      <c r="D61" s="157" t="n"/>
      <c r="E61" s="160" t="n"/>
    </row>
    <row r="62" ht="20.25" customHeight="1" s="1">
      <c r="A62" s="139" t="n"/>
      <c r="B62" s="141" t="n"/>
      <c r="C62" s="143" t="n"/>
      <c r="D62" s="157" t="n"/>
      <c r="E62" s="160" t="n"/>
    </row>
    <row r="63" ht="20.25" customHeight="1" s="1">
      <c r="A63" s="139" t="n"/>
      <c r="B63" s="141" t="n"/>
      <c r="C63" s="143" t="n"/>
      <c r="D63" s="157" t="n"/>
      <c r="E63" s="160" t="n"/>
    </row>
    <row r="64" ht="20.25" customHeight="1" s="1">
      <c r="A64" s="139" t="n"/>
      <c r="B64" s="141" t="n"/>
      <c r="C64" s="143" t="n"/>
      <c r="D64" s="157" t="n"/>
      <c r="E64" s="160" t="n"/>
    </row>
    <row r="65" ht="20.25" customHeight="1" s="1">
      <c r="A65" s="139" t="n"/>
      <c r="B65" s="141" t="n"/>
      <c r="C65" s="145" t="n"/>
      <c r="D65" s="157" t="n"/>
      <c r="E65" s="160" t="n"/>
    </row>
    <row r="66" ht="32.25" customHeight="1" s="1">
      <c r="A66" s="139" t="n"/>
      <c r="B66" s="158" t="n"/>
      <c r="C66" s="143" t="n"/>
      <c r="D66" s="157" t="n"/>
      <c r="E66" s="160" t="n"/>
    </row>
    <row r="67" ht="20.25" customHeight="1" s="1">
      <c r="A67" s="173" t="n"/>
      <c r="B67" s="159" t="n"/>
      <c r="C67" s="196" t="n"/>
      <c r="D67" s="138" t="n"/>
      <c r="E67" s="160" t="n"/>
    </row>
    <row r="68" ht="20.25" customHeight="1" s="1">
      <c r="A68" s="173" t="n"/>
      <c r="B68" s="161" t="n"/>
      <c r="C68" s="162" t="n"/>
      <c r="D68" s="138" t="n"/>
      <c r="E68" s="160" t="n"/>
    </row>
    <row r="69" ht="20.25" customHeight="1" s="1">
      <c r="A69" s="173" t="n"/>
      <c r="B69" s="163" t="n"/>
      <c r="C69" s="164" t="n"/>
      <c r="D69" s="138" t="n"/>
      <c r="E69" s="160" t="n"/>
    </row>
    <row r="70" ht="26.25" customHeight="1" s="1">
      <c r="A70" s="261" t="inlineStr">
        <is>
          <t>Number of Students Attempted</t>
        </is>
      </c>
      <c r="B70" s="262" t="n"/>
      <c r="C70" s="263" t="n"/>
      <c r="D70" s="165">
        <f>COUNTA(D9:D66)</f>
        <v/>
      </c>
      <c r="E70" s="166" t="n"/>
    </row>
    <row r="71" ht="30.75" customHeight="1" s="1">
      <c r="A71" s="254" t="inlineStr">
        <is>
          <t>Number of students who got more than 60% of marks</t>
        </is>
      </c>
      <c r="B71" s="255" t="n"/>
      <c r="C71" s="256" t="n"/>
      <c r="D71" s="165">
        <f>COUNTIF(E9:E68,"&gt;=6.5")</f>
        <v/>
      </c>
      <c r="E71" s="75" t="n"/>
    </row>
    <row r="72" ht="30.75" customHeight="1" s="1">
      <c r="A72" s="267" t="inlineStr">
        <is>
          <t>Percentage of students who got more than 60% of marks</t>
        </is>
      </c>
      <c r="B72" s="268" t="n"/>
      <c r="C72" s="269" t="n"/>
      <c r="D72" s="167">
        <f>IFERROR((D71/D70)*100,0)</f>
        <v/>
      </c>
      <c r="E72" s="75" t="n"/>
    </row>
    <row r="73" ht="30.75" customHeight="1" s="1">
      <c r="A73" s="266" t="inlineStr">
        <is>
          <t xml:space="preserve">  CO ATTAINMENT LEVEL (&gt;=85:3,&gt;=75:2, &gt;=65:1,&lt;65:0)</t>
        </is>
      </c>
      <c r="B73" s="216" t="n"/>
      <c r="C73" s="222" t="n"/>
      <c r="D73" s="168">
        <f>IFERROR(IF(D72&gt;=85,3,IF(D72&gt;=75,2,IF(D72&gt;=65,1,0))),0)</f>
        <v/>
      </c>
      <c r="E73" s="75" t="n"/>
    </row>
    <row r="74" ht="12" customHeight="1" s="1">
      <c r="A74" s="201" t="n"/>
      <c r="B74" s="124" t="n"/>
      <c r="C74" s="201" t="n"/>
      <c r="D74" s="201" t="n"/>
      <c r="E74" s="194" t="n"/>
    </row>
    <row r="75" ht="12" customHeight="1" s="1">
      <c r="A75" s="194" t="n"/>
      <c r="B75" s="126" t="n"/>
      <c r="C75" s="194" t="n"/>
      <c r="D75" s="194" t="n"/>
      <c r="E75" s="194" t="n"/>
    </row>
    <row r="76" ht="12" customHeight="1" s="1">
      <c r="A76" s="194" t="n"/>
      <c r="B76" s="126" t="n"/>
      <c r="C76" s="194" t="n"/>
      <c r="D76" s="194" t="n"/>
      <c r="E76" s="194" t="n"/>
    </row>
    <row r="77" ht="12" customHeight="1" s="1">
      <c r="A77" s="194" t="n"/>
      <c r="B77" s="126" t="n"/>
      <c r="C77" s="194" t="n"/>
      <c r="D77" s="194" t="n"/>
      <c r="E77" s="194" t="n"/>
    </row>
    <row r="78" ht="12" customHeight="1" s="1">
      <c r="A78" s="194" t="n"/>
      <c r="B78" s="126" t="n"/>
      <c r="C78" s="194" t="n"/>
      <c r="D78" s="194" t="n"/>
      <c r="E78" s="194" t="n"/>
    </row>
    <row r="79" ht="12" customHeight="1" s="1">
      <c r="A79" s="194" t="n"/>
      <c r="B79" s="126" t="n"/>
      <c r="C79" s="194" t="n"/>
      <c r="D79" s="194" t="n"/>
      <c r="E79" s="194" t="n"/>
    </row>
    <row r="80" ht="12" customHeight="1" s="1">
      <c r="A80" s="194" t="n"/>
      <c r="B80" s="126" t="n"/>
      <c r="C80" s="194" t="n"/>
      <c r="D80" s="194" t="n"/>
      <c r="E80" s="194" t="n"/>
    </row>
    <row r="81" ht="12" customHeight="1" s="1">
      <c r="A81" s="194" t="n"/>
      <c r="B81" s="126" t="n"/>
      <c r="C81" s="194" t="n"/>
      <c r="D81" s="194" t="n"/>
      <c r="E81" s="194" t="n"/>
    </row>
    <row r="82" ht="12" customHeight="1" s="1">
      <c r="A82" s="194" t="n"/>
      <c r="B82" s="126" t="n"/>
      <c r="C82" s="194" t="n"/>
      <c r="D82" s="194" t="n"/>
      <c r="E82" s="194" t="n"/>
    </row>
    <row r="83" ht="12" customHeight="1" s="1">
      <c r="A83" s="194" t="n"/>
      <c r="B83" s="126" t="n"/>
      <c r="C83" s="194" t="n"/>
      <c r="D83" s="194" t="n"/>
      <c r="E83" s="194" t="n"/>
    </row>
    <row r="84" ht="12" customHeight="1" s="1">
      <c r="A84" s="194" t="n"/>
      <c r="B84" s="126" t="n"/>
      <c r="C84" s="194" t="n"/>
      <c r="D84" s="194" t="n"/>
      <c r="E84" s="194" t="n"/>
    </row>
    <row r="85" ht="12" customHeight="1" s="1">
      <c r="A85" s="194" t="n"/>
      <c r="B85" s="126" t="n"/>
      <c r="C85" s="194" t="n"/>
      <c r="D85" s="194" t="n"/>
      <c r="E85" s="194" t="n"/>
    </row>
    <row r="86" ht="12" customHeight="1" s="1">
      <c r="A86" s="194" t="n"/>
      <c r="B86" s="126" t="n"/>
      <c r="C86" s="194" t="n"/>
      <c r="D86" s="194" t="n"/>
      <c r="E86" s="194" t="n"/>
    </row>
    <row r="87" ht="12" customHeight="1" s="1">
      <c r="A87" s="194" t="n"/>
      <c r="B87" s="126" t="n"/>
      <c r="C87" s="194" t="n"/>
      <c r="D87" s="194" t="n"/>
      <c r="E87" s="194" t="n"/>
    </row>
    <row r="88" ht="12" customHeight="1" s="1">
      <c r="A88" s="194" t="n"/>
      <c r="B88" s="126" t="n"/>
      <c r="C88" s="194" t="n"/>
      <c r="D88" s="194" t="n"/>
      <c r="E88" s="194" t="n"/>
    </row>
    <row r="89" ht="12" customHeight="1" s="1">
      <c r="A89" s="194" t="n"/>
      <c r="B89" s="126" t="n"/>
      <c r="C89" s="194" t="n"/>
      <c r="D89" s="194" t="n"/>
      <c r="E89" s="194" t="n"/>
    </row>
    <row r="90" ht="12" customHeight="1" s="1">
      <c r="A90" s="194" t="n"/>
      <c r="B90" s="126" t="n"/>
      <c r="C90" s="194" t="n"/>
      <c r="D90" s="194" t="n"/>
      <c r="E90" s="194" t="n"/>
    </row>
    <row r="91" ht="12" customHeight="1" s="1">
      <c r="A91" s="194" t="n"/>
      <c r="B91" s="126" t="n"/>
      <c r="C91" s="194" t="n"/>
      <c r="D91" s="194" t="n"/>
      <c r="E91" s="194" t="n"/>
    </row>
    <row r="92" ht="12" customHeight="1" s="1">
      <c r="A92" s="194" t="n"/>
      <c r="B92" s="126" t="n"/>
      <c r="C92" s="194" t="n"/>
      <c r="D92" s="194" t="n"/>
      <c r="E92" s="194" t="n"/>
    </row>
    <row r="93" ht="12" customHeight="1" s="1">
      <c r="A93" s="194" t="n"/>
      <c r="B93" s="126" t="n"/>
      <c r="C93" s="194" t="n"/>
      <c r="D93" s="194" t="n"/>
      <c r="E93" s="194" t="n"/>
    </row>
    <row r="94" ht="12" customHeight="1" s="1">
      <c r="A94" s="194" t="n"/>
      <c r="B94" s="126" t="n"/>
      <c r="C94" s="194" t="n"/>
      <c r="D94" s="194" t="n"/>
      <c r="E94" s="194" t="n"/>
    </row>
    <row r="95" ht="12" customHeight="1" s="1">
      <c r="A95" s="194" t="n"/>
      <c r="B95" s="126" t="n"/>
      <c r="C95" s="194" t="n"/>
      <c r="D95" s="194" t="n"/>
      <c r="E95" s="194" t="n"/>
    </row>
    <row r="96" ht="12" customHeight="1" s="1">
      <c r="A96" s="194" t="n"/>
      <c r="B96" s="126" t="n"/>
      <c r="C96" s="194" t="n"/>
      <c r="D96" s="194" t="n"/>
      <c r="E96" s="194" t="n"/>
    </row>
    <row r="97" ht="12" customHeight="1" s="1">
      <c r="A97" s="194" t="n"/>
      <c r="B97" s="126" t="n"/>
      <c r="C97" s="194" t="n"/>
      <c r="D97" s="194" t="n"/>
      <c r="E97" s="194" t="n"/>
    </row>
    <row r="98" ht="12" customHeight="1" s="1">
      <c r="A98" s="194" t="n"/>
      <c r="B98" s="126" t="n"/>
      <c r="C98" s="194" t="n"/>
      <c r="D98" s="194" t="n"/>
      <c r="E98" s="194" t="n"/>
    </row>
    <row r="99" ht="12" customHeight="1" s="1">
      <c r="A99" s="194" t="n"/>
      <c r="B99" s="126" t="n"/>
      <c r="C99" s="194" t="n"/>
      <c r="D99" s="194" t="n"/>
      <c r="E99" s="194" t="n"/>
    </row>
    <row r="100" ht="12" customHeight="1" s="1">
      <c r="A100" s="194" t="n"/>
      <c r="B100" s="126" t="n"/>
      <c r="C100" s="194" t="n"/>
      <c r="D100" s="194" t="n"/>
      <c r="E100" s="194" t="n"/>
    </row>
    <row r="101" ht="12" customHeight="1" s="1">
      <c r="A101" s="194" t="n"/>
      <c r="B101" s="126" t="n"/>
      <c r="C101" s="194" t="n"/>
      <c r="D101" s="194" t="n"/>
      <c r="E101" s="194" t="n"/>
    </row>
    <row r="102" ht="12" customHeight="1" s="1">
      <c r="A102" s="194" t="n"/>
      <c r="B102" s="126" t="n"/>
      <c r="C102" s="194" t="n"/>
      <c r="D102" s="194" t="n"/>
      <c r="E102" s="194" t="n"/>
    </row>
    <row r="103" ht="12" customHeight="1" s="1">
      <c r="A103" s="194" t="n"/>
      <c r="B103" s="126" t="n"/>
      <c r="C103" s="194" t="n"/>
      <c r="D103" s="194" t="n"/>
      <c r="E103" s="194" t="n"/>
    </row>
    <row r="104" ht="12" customHeight="1" s="1">
      <c r="A104" s="194" t="n"/>
      <c r="B104" s="126" t="n"/>
      <c r="C104" s="194" t="n"/>
      <c r="D104" s="194" t="n"/>
      <c r="E104" s="194" t="n"/>
    </row>
    <row r="105" ht="12" customHeight="1" s="1">
      <c r="A105" s="194" t="n"/>
      <c r="B105" s="126" t="n"/>
      <c r="C105" s="194" t="n"/>
      <c r="D105" s="194" t="n"/>
      <c r="E105" s="194" t="n"/>
    </row>
    <row r="106" ht="12" customHeight="1" s="1">
      <c r="A106" s="194" t="n"/>
      <c r="B106" s="126" t="n"/>
      <c r="C106" s="194" t="n"/>
      <c r="D106" s="194" t="n"/>
      <c r="E106" s="194" t="n"/>
    </row>
    <row r="107" ht="12" customHeight="1" s="1">
      <c r="A107" s="194" t="n"/>
      <c r="B107" s="126" t="n"/>
      <c r="C107" s="194" t="n"/>
      <c r="D107" s="194" t="n"/>
      <c r="E107" s="194" t="n"/>
    </row>
    <row r="108" ht="12" customHeight="1" s="1">
      <c r="A108" s="194" t="n"/>
      <c r="B108" s="126" t="n"/>
      <c r="C108" s="194" t="n"/>
      <c r="D108" s="194" t="n"/>
      <c r="E108" s="194" t="n"/>
    </row>
    <row r="109" ht="12" customHeight="1" s="1">
      <c r="A109" s="194" t="n"/>
      <c r="B109" s="126" t="n"/>
      <c r="C109" s="194" t="n"/>
      <c r="D109" s="194" t="n"/>
      <c r="E109" s="194" t="n"/>
    </row>
    <row r="110" ht="12" customHeight="1" s="1">
      <c r="A110" s="194" t="n"/>
      <c r="B110" s="126" t="n"/>
      <c r="C110" s="194" t="n"/>
      <c r="D110" s="194" t="n"/>
      <c r="E110" s="194" t="n"/>
    </row>
    <row r="111" ht="12" customHeight="1" s="1">
      <c r="A111" s="194" t="n"/>
      <c r="B111" s="126" t="n"/>
      <c r="C111" s="194" t="n"/>
      <c r="D111" s="194" t="n"/>
      <c r="E111" s="194" t="n"/>
    </row>
    <row r="112" ht="12" customHeight="1" s="1">
      <c r="A112" s="194" t="n"/>
      <c r="B112" s="126" t="n"/>
      <c r="C112" s="194" t="n"/>
      <c r="D112" s="194" t="n"/>
      <c r="E112" s="194" t="n"/>
    </row>
    <row r="113" ht="12" customHeight="1" s="1">
      <c r="A113" s="194" t="n"/>
      <c r="B113" s="126" t="n"/>
      <c r="C113" s="194" t="n"/>
      <c r="D113" s="194" t="n"/>
      <c r="E113" s="194" t="n"/>
    </row>
    <row r="114" ht="12" customHeight="1" s="1">
      <c r="A114" s="194" t="n"/>
      <c r="B114" s="126" t="n"/>
      <c r="C114" s="194" t="n"/>
      <c r="D114" s="194" t="n"/>
      <c r="E114" s="194" t="n"/>
    </row>
    <row r="115" ht="12" customHeight="1" s="1">
      <c r="A115" s="194" t="n"/>
      <c r="B115" s="126" t="n"/>
      <c r="C115" s="194" t="n"/>
      <c r="D115" s="194" t="n"/>
      <c r="E115" s="194" t="n"/>
    </row>
    <row r="116" ht="12" customHeight="1" s="1">
      <c r="A116" s="194" t="n"/>
      <c r="B116" s="126" t="n"/>
      <c r="C116" s="194" t="n"/>
      <c r="D116" s="194" t="n"/>
      <c r="E116" s="194" t="n"/>
    </row>
    <row r="117" ht="12" customHeight="1" s="1">
      <c r="A117" s="194" t="n"/>
      <c r="B117" s="126" t="n"/>
      <c r="C117" s="194" t="n"/>
      <c r="D117" s="194" t="n"/>
      <c r="E117" s="194" t="n"/>
    </row>
    <row r="118" ht="12" customHeight="1" s="1">
      <c r="A118" s="194" t="n"/>
      <c r="B118" s="126" t="n"/>
      <c r="C118" s="194" t="n"/>
      <c r="D118" s="194" t="n"/>
      <c r="E118" s="194" t="n"/>
    </row>
    <row r="119" ht="12" customHeight="1" s="1">
      <c r="A119" s="194" t="n"/>
      <c r="B119" s="126" t="n"/>
      <c r="C119" s="194" t="n"/>
      <c r="D119" s="194" t="n"/>
      <c r="E119" s="194" t="n"/>
    </row>
    <row r="120" ht="12" customHeight="1" s="1">
      <c r="A120" s="194" t="n"/>
      <c r="B120" s="126" t="n"/>
      <c r="C120" s="194" t="n"/>
      <c r="D120" s="194" t="n"/>
      <c r="E120" s="194" t="n"/>
    </row>
    <row r="121" ht="12" customHeight="1" s="1">
      <c r="A121" s="194" t="n"/>
      <c r="B121" s="126" t="n"/>
      <c r="C121" s="194" t="n"/>
      <c r="D121" s="194" t="n"/>
      <c r="E121" s="194" t="n"/>
    </row>
    <row r="122" ht="12" customHeight="1" s="1">
      <c r="A122" s="194" t="n"/>
      <c r="B122" s="126" t="n"/>
      <c r="C122" s="194" t="n"/>
      <c r="D122" s="194" t="n"/>
      <c r="E122" s="194" t="n"/>
    </row>
    <row r="123" ht="12" customHeight="1" s="1">
      <c r="A123" s="194" t="n"/>
      <c r="B123" s="126" t="n"/>
      <c r="C123" s="194" t="n"/>
      <c r="D123" s="194" t="n"/>
      <c r="E123" s="194" t="n"/>
    </row>
    <row r="124" ht="12" customHeight="1" s="1">
      <c r="A124" s="194" t="n"/>
      <c r="B124" s="126" t="n"/>
      <c r="C124" s="194" t="n"/>
      <c r="D124" s="194" t="n"/>
      <c r="E124" s="194" t="n"/>
    </row>
    <row r="125" ht="12" customHeight="1" s="1">
      <c r="A125" s="194" t="n"/>
      <c r="B125" s="126" t="n"/>
      <c r="C125" s="194" t="n"/>
      <c r="D125" s="194" t="n"/>
      <c r="E125" s="194" t="n"/>
    </row>
    <row r="126" ht="12" customHeight="1" s="1">
      <c r="A126" s="194" t="n"/>
      <c r="B126" s="126" t="n"/>
      <c r="C126" s="194" t="n"/>
      <c r="D126" s="194" t="n"/>
      <c r="E126" s="194" t="n"/>
    </row>
    <row r="127" ht="12" customHeight="1" s="1">
      <c r="A127" s="194" t="n"/>
      <c r="B127" s="126" t="n"/>
      <c r="C127" s="194" t="n"/>
      <c r="D127" s="194" t="n"/>
      <c r="E127" s="194" t="n"/>
    </row>
    <row r="128" ht="12" customHeight="1" s="1">
      <c r="A128" s="194" t="n"/>
      <c r="B128" s="126" t="n"/>
      <c r="C128" s="194" t="n"/>
      <c r="D128" s="194" t="n"/>
      <c r="E128" s="194" t="n"/>
    </row>
    <row r="129" ht="12" customHeight="1" s="1">
      <c r="A129" s="194" t="n"/>
      <c r="B129" s="126" t="n"/>
      <c r="C129" s="194" t="n"/>
      <c r="D129" s="194" t="n"/>
      <c r="E129" s="194" t="n"/>
    </row>
    <row r="130" ht="12" customHeight="1" s="1">
      <c r="A130" s="194" t="n"/>
      <c r="B130" s="126" t="n"/>
      <c r="C130" s="194" t="n"/>
      <c r="D130" s="194" t="n"/>
      <c r="E130" s="194" t="n"/>
    </row>
    <row r="131" ht="12" customHeight="1" s="1">
      <c r="A131" s="194" t="n"/>
      <c r="B131" s="126" t="n"/>
      <c r="C131" s="194" t="n"/>
      <c r="D131" s="194" t="n"/>
      <c r="E131" s="194" t="n"/>
    </row>
    <row r="132" ht="12" customHeight="1" s="1">
      <c r="A132" s="194" t="n"/>
      <c r="B132" s="126" t="n"/>
      <c r="C132" s="194" t="n"/>
      <c r="D132" s="194" t="n"/>
      <c r="E132" s="194" t="n"/>
    </row>
    <row r="133" ht="12" customHeight="1" s="1">
      <c r="A133" s="194" t="n"/>
      <c r="B133" s="126" t="n"/>
      <c r="C133" s="194" t="n"/>
      <c r="D133" s="194" t="n"/>
      <c r="E133" s="194" t="n"/>
    </row>
    <row r="134" ht="12" customHeight="1" s="1">
      <c r="A134" s="194" t="n"/>
      <c r="B134" s="126" t="n"/>
      <c r="C134" s="194" t="n"/>
      <c r="D134" s="194" t="n"/>
      <c r="E134" s="194" t="n"/>
    </row>
    <row r="135" ht="12" customHeight="1" s="1">
      <c r="A135" s="194" t="n"/>
      <c r="B135" s="126" t="n"/>
      <c r="C135" s="194" t="n"/>
      <c r="D135" s="194" t="n"/>
      <c r="E135" s="194" t="n"/>
    </row>
    <row r="136" ht="12" customHeight="1" s="1">
      <c r="A136" s="194" t="n"/>
      <c r="B136" s="126" t="n"/>
      <c r="C136" s="194" t="n"/>
      <c r="D136" s="194" t="n"/>
      <c r="E136" s="194" t="n"/>
    </row>
    <row r="137" ht="12" customHeight="1" s="1">
      <c r="A137" s="194" t="n"/>
      <c r="B137" s="126" t="n"/>
      <c r="C137" s="194" t="n"/>
      <c r="D137" s="194" t="n"/>
      <c r="E137" s="194" t="n"/>
    </row>
    <row r="138" ht="12" customHeight="1" s="1">
      <c r="A138" s="194" t="n"/>
      <c r="B138" s="126" t="n"/>
      <c r="C138" s="194" t="n"/>
      <c r="D138" s="194" t="n"/>
      <c r="E138" s="194" t="n"/>
    </row>
    <row r="139" ht="12" customHeight="1" s="1">
      <c r="A139" s="194" t="n"/>
      <c r="B139" s="126" t="n"/>
      <c r="C139" s="194" t="n"/>
      <c r="D139" s="194" t="n"/>
      <c r="E139" s="194" t="n"/>
    </row>
    <row r="140" ht="12" customHeight="1" s="1">
      <c r="A140" s="194" t="n"/>
      <c r="B140" s="126" t="n"/>
      <c r="C140" s="194" t="n"/>
      <c r="D140" s="194" t="n"/>
      <c r="E140" s="194" t="n"/>
    </row>
    <row r="141" ht="12" customHeight="1" s="1">
      <c r="A141" s="194" t="n"/>
      <c r="B141" s="126" t="n"/>
      <c r="C141" s="194" t="n"/>
      <c r="D141" s="194" t="n"/>
      <c r="E141" s="194" t="n"/>
    </row>
    <row r="142" ht="12" customHeight="1" s="1">
      <c r="A142" s="194" t="n"/>
      <c r="B142" s="126" t="n"/>
      <c r="C142" s="194" t="n"/>
      <c r="D142" s="194" t="n"/>
      <c r="E142" s="194" t="n"/>
    </row>
    <row r="143" ht="12" customHeight="1" s="1">
      <c r="A143" s="194" t="n"/>
      <c r="B143" s="126" t="n"/>
      <c r="C143" s="194" t="n"/>
      <c r="D143" s="194" t="n"/>
      <c r="E143" s="194" t="n"/>
    </row>
    <row r="144" ht="12" customHeight="1" s="1">
      <c r="A144" s="194" t="n"/>
      <c r="B144" s="126" t="n"/>
      <c r="C144" s="194" t="n"/>
      <c r="D144" s="194" t="n"/>
      <c r="E144" s="194" t="n"/>
    </row>
    <row r="145" ht="12" customHeight="1" s="1">
      <c r="A145" s="194" t="n"/>
      <c r="B145" s="126" t="n"/>
      <c r="C145" s="194" t="n"/>
      <c r="D145" s="194" t="n"/>
      <c r="E145" s="194" t="n"/>
    </row>
    <row r="146" ht="12" customHeight="1" s="1">
      <c r="A146" s="194" t="n"/>
      <c r="B146" s="126" t="n"/>
      <c r="C146" s="194" t="n"/>
      <c r="D146" s="194" t="n"/>
      <c r="E146" s="194" t="n"/>
    </row>
    <row r="147" ht="12" customHeight="1" s="1">
      <c r="A147" s="194" t="n"/>
      <c r="B147" s="126" t="n"/>
      <c r="C147" s="194" t="n"/>
      <c r="D147" s="194" t="n"/>
      <c r="E147" s="194" t="n"/>
    </row>
    <row r="148" ht="12" customHeight="1" s="1">
      <c r="A148" s="194" t="n"/>
      <c r="B148" s="126" t="n"/>
      <c r="C148" s="194" t="n"/>
      <c r="D148" s="194" t="n"/>
      <c r="E148" s="194" t="n"/>
    </row>
    <row r="149" ht="12" customHeight="1" s="1">
      <c r="A149" s="194" t="n"/>
      <c r="B149" s="126" t="n"/>
      <c r="C149" s="194" t="n"/>
      <c r="D149" s="194" t="n"/>
      <c r="E149" s="194" t="n"/>
    </row>
    <row r="150" ht="12" customHeight="1" s="1">
      <c r="A150" s="194" t="n"/>
      <c r="B150" s="126" t="n"/>
      <c r="C150" s="194" t="n"/>
      <c r="D150" s="194" t="n"/>
      <c r="E150" s="194" t="n"/>
    </row>
    <row r="151" ht="12" customHeight="1" s="1">
      <c r="A151" s="194" t="n"/>
      <c r="B151" s="126" t="n"/>
      <c r="C151" s="194" t="n"/>
      <c r="D151" s="194" t="n"/>
      <c r="E151" s="194" t="n"/>
    </row>
    <row r="152" ht="12" customHeight="1" s="1">
      <c r="A152" s="194" t="n"/>
      <c r="B152" s="126" t="n"/>
      <c r="C152" s="194" t="n"/>
      <c r="D152" s="194" t="n"/>
      <c r="E152" s="194" t="n"/>
    </row>
    <row r="153" ht="12" customHeight="1" s="1">
      <c r="A153" s="194" t="n"/>
      <c r="B153" s="126" t="n"/>
      <c r="C153" s="194" t="n"/>
      <c r="D153" s="194" t="n"/>
      <c r="E153" s="194" t="n"/>
    </row>
    <row r="154" ht="12" customHeight="1" s="1">
      <c r="A154" s="194" t="n"/>
      <c r="B154" s="126" t="n"/>
      <c r="C154" s="194" t="n"/>
      <c r="D154" s="194" t="n"/>
      <c r="E154" s="194" t="n"/>
    </row>
    <row r="155" ht="12" customHeight="1" s="1">
      <c r="A155" s="194" t="n"/>
      <c r="B155" s="126" t="n"/>
      <c r="C155" s="194" t="n"/>
      <c r="D155" s="194" t="n"/>
      <c r="E155" s="194" t="n"/>
    </row>
    <row r="156" ht="12" customHeight="1" s="1">
      <c r="A156" s="194" t="n"/>
      <c r="B156" s="126" t="n"/>
      <c r="C156" s="194" t="n"/>
      <c r="D156" s="194" t="n"/>
      <c r="E156" s="194" t="n"/>
    </row>
    <row r="157" ht="12" customHeight="1" s="1">
      <c r="A157" s="194" t="n"/>
      <c r="B157" s="126" t="n"/>
      <c r="C157" s="194" t="n"/>
      <c r="D157" s="194" t="n"/>
      <c r="E157" s="194" t="n"/>
    </row>
    <row r="158" ht="12" customHeight="1" s="1">
      <c r="A158" s="194" t="n"/>
      <c r="B158" s="126" t="n"/>
      <c r="C158" s="194" t="n"/>
      <c r="D158" s="194" t="n"/>
      <c r="E158" s="194" t="n"/>
    </row>
    <row r="159" ht="12" customHeight="1" s="1">
      <c r="A159" s="194" t="n"/>
      <c r="B159" s="126" t="n"/>
      <c r="C159" s="194" t="n"/>
      <c r="D159" s="194" t="n"/>
      <c r="E159" s="194" t="n"/>
    </row>
    <row r="160" ht="12" customHeight="1" s="1">
      <c r="A160" s="194" t="n"/>
      <c r="B160" s="126" t="n"/>
      <c r="C160" s="194" t="n"/>
      <c r="D160" s="194" t="n"/>
      <c r="E160" s="194" t="n"/>
    </row>
    <row r="161" ht="12" customHeight="1" s="1">
      <c r="A161" s="194" t="n"/>
      <c r="B161" s="126" t="n"/>
      <c r="C161" s="194" t="n"/>
      <c r="D161" s="194" t="n"/>
      <c r="E161" s="194" t="n"/>
    </row>
    <row r="162" ht="12" customHeight="1" s="1">
      <c r="A162" s="194" t="n"/>
      <c r="B162" s="126" t="n"/>
      <c r="C162" s="194" t="n"/>
      <c r="D162" s="194" t="n"/>
      <c r="E162" s="194" t="n"/>
    </row>
    <row r="163" ht="12" customHeight="1" s="1">
      <c r="A163" s="194" t="n"/>
      <c r="B163" s="126" t="n"/>
      <c r="C163" s="194" t="n"/>
      <c r="D163" s="194" t="n"/>
      <c r="E163" s="194" t="n"/>
    </row>
    <row r="164" ht="12" customHeight="1" s="1">
      <c r="A164" s="194" t="n"/>
      <c r="B164" s="126" t="n"/>
      <c r="C164" s="194" t="n"/>
      <c r="D164" s="194" t="n"/>
      <c r="E164" s="194" t="n"/>
    </row>
    <row r="165" ht="12" customHeight="1" s="1">
      <c r="A165" s="194" t="n"/>
      <c r="B165" s="126" t="n"/>
      <c r="C165" s="194" t="n"/>
      <c r="D165" s="194" t="n"/>
      <c r="E165" s="194" t="n"/>
    </row>
    <row r="166" ht="12" customHeight="1" s="1">
      <c r="A166" s="194" t="n"/>
      <c r="B166" s="126" t="n"/>
      <c r="C166" s="194" t="n"/>
      <c r="D166" s="194" t="n"/>
      <c r="E166" s="194" t="n"/>
    </row>
    <row r="167" ht="12" customHeight="1" s="1">
      <c r="A167" s="194" t="n"/>
      <c r="B167" s="126" t="n"/>
      <c r="C167" s="194" t="n"/>
      <c r="D167" s="194" t="n"/>
      <c r="E167" s="194" t="n"/>
    </row>
    <row r="168" ht="12" customHeight="1" s="1">
      <c r="A168" s="194" t="n"/>
      <c r="B168" s="126" t="n"/>
      <c r="C168" s="194" t="n"/>
      <c r="D168" s="194" t="n"/>
      <c r="E168" s="194" t="n"/>
    </row>
    <row r="169" ht="12" customHeight="1" s="1">
      <c r="A169" s="194" t="n"/>
      <c r="B169" s="126" t="n"/>
      <c r="C169" s="194" t="n"/>
      <c r="D169" s="194" t="n"/>
      <c r="E169" s="194" t="n"/>
    </row>
    <row r="170" ht="12" customHeight="1" s="1">
      <c r="A170" s="194" t="n"/>
      <c r="B170" s="126" t="n"/>
      <c r="C170" s="194" t="n"/>
      <c r="D170" s="194" t="n"/>
      <c r="E170" s="194" t="n"/>
    </row>
    <row r="171" ht="12" customHeight="1" s="1">
      <c r="A171" s="194" t="n"/>
      <c r="B171" s="126" t="n"/>
      <c r="C171" s="194" t="n"/>
      <c r="D171" s="194" t="n"/>
      <c r="E171" s="194" t="n"/>
    </row>
    <row r="172" ht="12" customHeight="1" s="1">
      <c r="A172" s="194" t="n"/>
      <c r="B172" s="126" t="n"/>
      <c r="C172" s="194" t="n"/>
      <c r="D172" s="194" t="n"/>
      <c r="E172" s="194" t="n"/>
    </row>
    <row r="173" ht="12" customHeight="1" s="1">
      <c r="A173" s="194" t="n"/>
      <c r="B173" s="126" t="n"/>
      <c r="C173" s="194" t="n"/>
      <c r="D173" s="194" t="n"/>
      <c r="E173" s="194" t="n"/>
    </row>
    <row r="174" ht="12" customHeight="1" s="1">
      <c r="A174" s="194" t="n"/>
      <c r="B174" s="126" t="n"/>
      <c r="C174" s="194" t="n"/>
      <c r="D174" s="194" t="n"/>
      <c r="E174" s="194" t="n"/>
    </row>
    <row r="175" ht="12" customHeight="1" s="1">
      <c r="A175" s="194" t="n"/>
      <c r="B175" s="126" t="n"/>
      <c r="C175" s="194" t="n"/>
      <c r="D175" s="194" t="n"/>
      <c r="E175" s="194" t="n"/>
    </row>
    <row r="176" ht="12" customHeight="1" s="1">
      <c r="A176" s="194" t="n"/>
      <c r="B176" s="126" t="n"/>
      <c r="C176" s="194" t="n"/>
      <c r="D176" s="194" t="n"/>
      <c r="E176" s="194" t="n"/>
    </row>
    <row r="177" ht="12" customHeight="1" s="1">
      <c r="A177" s="194" t="n"/>
      <c r="B177" s="126" t="n"/>
      <c r="C177" s="194" t="n"/>
      <c r="D177" s="194" t="n"/>
      <c r="E177" s="194" t="n"/>
    </row>
    <row r="178" ht="12" customHeight="1" s="1">
      <c r="A178" s="194" t="n"/>
      <c r="B178" s="126" t="n"/>
      <c r="C178" s="194" t="n"/>
      <c r="D178" s="194" t="n"/>
      <c r="E178" s="194" t="n"/>
    </row>
    <row r="179" ht="12" customHeight="1" s="1">
      <c r="A179" s="194" t="n"/>
      <c r="B179" s="126" t="n"/>
      <c r="C179" s="194" t="n"/>
      <c r="D179" s="194" t="n"/>
      <c r="E179" s="194" t="n"/>
    </row>
    <row r="180" ht="12" customHeight="1" s="1">
      <c r="A180" s="194" t="n"/>
      <c r="B180" s="126" t="n"/>
      <c r="C180" s="194" t="n"/>
      <c r="D180" s="194" t="n"/>
      <c r="E180" s="194" t="n"/>
    </row>
    <row r="181" ht="12" customHeight="1" s="1">
      <c r="A181" s="194" t="n"/>
      <c r="B181" s="126" t="n"/>
      <c r="C181" s="194" t="n"/>
      <c r="D181" s="194" t="n"/>
      <c r="E181" s="194" t="n"/>
    </row>
    <row r="182" ht="12" customHeight="1" s="1">
      <c r="A182" s="194" t="n"/>
      <c r="B182" s="126" t="n"/>
      <c r="C182" s="194" t="n"/>
      <c r="D182" s="194" t="n"/>
      <c r="E182" s="194" t="n"/>
    </row>
    <row r="183" ht="12" customHeight="1" s="1">
      <c r="A183" s="194" t="n"/>
      <c r="B183" s="126" t="n"/>
      <c r="C183" s="194" t="n"/>
      <c r="D183" s="194" t="n"/>
      <c r="E183" s="194" t="n"/>
    </row>
    <row r="184" ht="12" customHeight="1" s="1">
      <c r="A184" s="194" t="n"/>
      <c r="B184" s="126" t="n"/>
      <c r="C184" s="194" t="n"/>
      <c r="D184" s="194" t="n"/>
      <c r="E184" s="194" t="n"/>
    </row>
    <row r="185" ht="12" customHeight="1" s="1">
      <c r="A185" s="194" t="n"/>
      <c r="B185" s="126" t="n"/>
      <c r="C185" s="194" t="n"/>
      <c r="D185" s="194" t="n"/>
      <c r="E185" s="194" t="n"/>
    </row>
    <row r="186" ht="12" customHeight="1" s="1">
      <c r="A186" s="194" t="n"/>
      <c r="B186" s="126" t="n"/>
      <c r="C186" s="194" t="n"/>
      <c r="D186" s="194" t="n"/>
      <c r="E186" s="194" t="n"/>
    </row>
    <row r="187" ht="12" customHeight="1" s="1">
      <c r="A187" s="194" t="n"/>
      <c r="B187" s="126" t="n"/>
      <c r="C187" s="194" t="n"/>
      <c r="D187" s="194" t="n"/>
      <c r="E187" s="194" t="n"/>
    </row>
    <row r="188" ht="12" customHeight="1" s="1">
      <c r="A188" s="194" t="n"/>
      <c r="B188" s="126" t="n"/>
      <c r="C188" s="194" t="n"/>
      <c r="D188" s="194" t="n"/>
      <c r="E188" s="194" t="n"/>
    </row>
    <row r="189" ht="12" customHeight="1" s="1">
      <c r="A189" s="194" t="n"/>
      <c r="B189" s="126" t="n"/>
      <c r="C189" s="194" t="n"/>
      <c r="D189" s="194" t="n"/>
      <c r="E189" s="194" t="n"/>
    </row>
    <row r="190" ht="12" customHeight="1" s="1">
      <c r="A190" s="194" t="n"/>
      <c r="B190" s="126" t="n"/>
      <c r="C190" s="194" t="n"/>
      <c r="D190" s="194" t="n"/>
      <c r="E190" s="194" t="n"/>
    </row>
    <row r="191" ht="12" customHeight="1" s="1">
      <c r="A191" s="194" t="n"/>
      <c r="B191" s="126" t="n"/>
      <c r="C191" s="194" t="n"/>
      <c r="D191" s="194" t="n"/>
      <c r="E191" s="194" t="n"/>
    </row>
    <row r="192" ht="12" customHeight="1" s="1">
      <c r="A192" s="194" t="n"/>
      <c r="B192" s="126" t="n"/>
      <c r="C192" s="194" t="n"/>
      <c r="D192" s="194" t="n"/>
      <c r="E192" s="194" t="n"/>
    </row>
    <row r="193" ht="12" customHeight="1" s="1">
      <c r="A193" s="194" t="n"/>
      <c r="B193" s="126" t="n"/>
      <c r="C193" s="194" t="n"/>
      <c r="D193" s="194" t="n"/>
      <c r="E193" s="194" t="n"/>
    </row>
    <row r="194" ht="12" customHeight="1" s="1">
      <c r="A194" s="194" t="n"/>
      <c r="B194" s="126" t="n"/>
      <c r="C194" s="194" t="n"/>
      <c r="D194" s="194" t="n"/>
      <c r="E194" s="194" t="n"/>
    </row>
    <row r="195" ht="12" customHeight="1" s="1">
      <c r="A195" s="194" t="n"/>
      <c r="B195" s="126" t="n"/>
      <c r="C195" s="194" t="n"/>
      <c r="D195" s="194" t="n"/>
      <c r="E195" s="194" t="n"/>
    </row>
    <row r="196" ht="12" customHeight="1" s="1">
      <c r="A196" s="194" t="n"/>
      <c r="B196" s="126" t="n"/>
      <c r="C196" s="194" t="n"/>
      <c r="D196" s="194" t="n"/>
      <c r="E196" s="194" t="n"/>
    </row>
    <row r="197" ht="12" customHeight="1" s="1">
      <c r="A197" s="194" t="n"/>
      <c r="B197" s="126" t="n"/>
      <c r="C197" s="194" t="n"/>
      <c r="D197" s="194" t="n"/>
      <c r="E197" s="194" t="n"/>
    </row>
    <row r="198" ht="12" customHeight="1" s="1">
      <c r="A198" s="194" t="n"/>
      <c r="B198" s="126" t="n"/>
      <c r="C198" s="194" t="n"/>
      <c r="D198" s="194" t="n"/>
      <c r="E198" s="194" t="n"/>
    </row>
    <row r="199" ht="12" customHeight="1" s="1">
      <c r="A199" s="194" t="n"/>
      <c r="B199" s="126" t="n"/>
      <c r="C199" s="194" t="n"/>
      <c r="D199" s="194" t="n"/>
      <c r="E199" s="194" t="n"/>
    </row>
    <row r="200" ht="12" customHeight="1" s="1">
      <c r="A200" s="194" t="n"/>
      <c r="B200" s="126" t="n"/>
      <c r="C200" s="194" t="n"/>
      <c r="D200" s="194" t="n"/>
      <c r="E200" s="194" t="n"/>
    </row>
    <row r="201" ht="12" customHeight="1" s="1">
      <c r="A201" s="194" t="n"/>
      <c r="B201" s="126" t="n"/>
      <c r="C201" s="194" t="n"/>
      <c r="D201" s="194" t="n"/>
      <c r="E201" s="194" t="n"/>
    </row>
    <row r="202" ht="12" customHeight="1" s="1">
      <c r="A202" s="194" t="n"/>
      <c r="B202" s="126" t="n"/>
      <c r="C202" s="194" t="n"/>
      <c r="D202" s="194" t="n"/>
      <c r="E202" s="194" t="n"/>
    </row>
    <row r="203" ht="12" customHeight="1" s="1">
      <c r="A203" s="194" t="n"/>
      <c r="B203" s="126" t="n"/>
      <c r="C203" s="194" t="n"/>
      <c r="D203" s="194" t="n"/>
      <c r="E203" s="194" t="n"/>
    </row>
    <row r="204" ht="12" customHeight="1" s="1">
      <c r="A204" s="194" t="n"/>
      <c r="B204" s="126" t="n"/>
      <c r="C204" s="194" t="n"/>
      <c r="D204" s="194" t="n"/>
      <c r="E204" s="194" t="n"/>
    </row>
    <row r="205" ht="12" customHeight="1" s="1">
      <c r="A205" s="194" t="n"/>
      <c r="B205" s="126" t="n"/>
      <c r="C205" s="194" t="n"/>
      <c r="D205" s="194" t="n"/>
      <c r="E205" s="194" t="n"/>
    </row>
    <row r="206" ht="12" customHeight="1" s="1">
      <c r="A206" s="194" t="n"/>
      <c r="B206" s="126" t="n"/>
      <c r="C206" s="194" t="n"/>
      <c r="D206" s="194" t="n"/>
      <c r="E206" s="194" t="n"/>
    </row>
    <row r="207" ht="12" customHeight="1" s="1">
      <c r="A207" s="194" t="n"/>
      <c r="B207" s="126" t="n"/>
      <c r="C207" s="194" t="n"/>
      <c r="D207" s="194" t="n"/>
      <c r="E207" s="194" t="n"/>
    </row>
    <row r="208" ht="12" customHeight="1" s="1">
      <c r="A208" s="194" t="n"/>
      <c r="B208" s="126" t="n"/>
      <c r="C208" s="194" t="n"/>
      <c r="D208" s="194" t="n"/>
      <c r="E208" s="194" t="n"/>
    </row>
    <row r="209" ht="12" customHeight="1" s="1">
      <c r="A209" s="194" t="n"/>
      <c r="B209" s="126" t="n"/>
      <c r="C209" s="194" t="n"/>
      <c r="D209" s="194" t="n"/>
      <c r="E209" s="194" t="n"/>
    </row>
    <row r="210" ht="12" customHeight="1" s="1">
      <c r="A210" s="194" t="n"/>
      <c r="B210" s="126" t="n"/>
      <c r="C210" s="194" t="n"/>
      <c r="D210" s="194" t="n"/>
      <c r="E210" s="194" t="n"/>
    </row>
    <row r="211" ht="12" customHeight="1" s="1">
      <c r="A211" s="194" t="n"/>
      <c r="B211" s="126" t="n"/>
      <c r="C211" s="194" t="n"/>
      <c r="D211" s="194" t="n"/>
      <c r="E211" s="194" t="n"/>
    </row>
    <row r="212" ht="12" customHeight="1" s="1">
      <c r="A212" s="194" t="n"/>
      <c r="B212" s="126" t="n"/>
      <c r="C212" s="194" t="n"/>
      <c r="D212" s="194" t="n"/>
      <c r="E212" s="194" t="n"/>
    </row>
    <row r="213" ht="12" customHeight="1" s="1">
      <c r="A213" s="194" t="n"/>
      <c r="B213" s="126" t="n"/>
      <c r="C213" s="194" t="n"/>
      <c r="D213" s="194" t="n"/>
      <c r="E213" s="194" t="n"/>
    </row>
    <row r="214" ht="12" customHeight="1" s="1">
      <c r="A214" s="194" t="n"/>
      <c r="B214" s="126" t="n"/>
      <c r="C214" s="194" t="n"/>
      <c r="D214" s="194" t="n"/>
      <c r="E214" s="194" t="n"/>
    </row>
    <row r="215" ht="12" customHeight="1" s="1">
      <c r="A215" s="194" t="n"/>
      <c r="B215" s="126" t="n"/>
      <c r="C215" s="194" t="n"/>
      <c r="D215" s="194" t="n"/>
      <c r="E215" s="194" t="n"/>
    </row>
    <row r="216" ht="12" customHeight="1" s="1">
      <c r="A216" s="194" t="n"/>
      <c r="B216" s="126" t="n"/>
      <c r="C216" s="194" t="n"/>
      <c r="D216" s="194" t="n"/>
      <c r="E216" s="194" t="n"/>
    </row>
    <row r="217" ht="12" customHeight="1" s="1">
      <c r="A217" s="194" t="n"/>
      <c r="B217" s="126" t="n"/>
      <c r="C217" s="194" t="n"/>
      <c r="D217" s="194" t="n"/>
      <c r="E217" s="194" t="n"/>
    </row>
    <row r="218" ht="12" customHeight="1" s="1">
      <c r="A218" s="194" t="n"/>
      <c r="B218" s="126" t="n"/>
      <c r="C218" s="194" t="n"/>
      <c r="D218" s="194" t="n"/>
      <c r="E218" s="194" t="n"/>
    </row>
    <row r="219" ht="12" customHeight="1" s="1">
      <c r="A219" s="194" t="n"/>
      <c r="B219" s="126" t="n"/>
      <c r="C219" s="194" t="n"/>
      <c r="D219" s="194" t="n"/>
      <c r="E219" s="194" t="n"/>
    </row>
    <row r="220" ht="12" customHeight="1" s="1">
      <c r="A220" s="194" t="n"/>
      <c r="B220" s="126" t="n"/>
      <c r="C220" s="194" t="n"/>
      <c r="D220" s="194" t="n"/>
      <c r="E220" s="194" t="n"/>
    </row>
    <row r="221" ht="12" customHeight="1" s="1">
      <c r="A221" s="194" t="n"/>
      <c r="B221" s="126" t="n"/>
      <c r="C221" s="194" t="n"/>
      <c r="D221" s="194" t="n"/>
      <c r="E221" s="194" t="n"/>
    </row>
    <row r="222" ht="12" customHeight="1" s="1">
      <c r="A222" s="194" t="n"/>
      <c r="B222" s="126" t="n"/>
      <c r="C222" s="194" t="n"/>
      <c r="D222" s="194" t="n"/>
      <c r="E222" s="194" t="n"/>
    </row>
    <row r="223" ht="12" customHeight="1" s="1">
      <c r="A223" s="194" t="n"/>
      <c r="B223" s="126" t="n"/>
      <c r="C223" s="194" t="n"/>
      <c r="D223" s="194" t="n"/>
      <c r="E223" s="194" t="n"/>
    </row>
    <row r="224" ht="12" customHeight="1" s="1">
      <c r="A224" s="194" t="n"/>
      <c r="B224" s="126" t="n"/>
      <c r="C224" s="194" t="n"/>
      <c r="D224" s="194" t="n"/>
      <c r="E224" s="194" t="n"/>
    </row>
    <row r="225" ht="12" customHeight="1" s="1">
      <c r="A225" s="194" t="n"/>
      <c r="B225" s="126" t="n"/>
      <c r="C225" s="194" t="n"/>
      <c r="D225" s="194" t="n"/>
      <c r="E225" s="194" t="n"/>
    </row>
    <row r="226" ht="12" customHeight="1" s="1">
      <c r="A226" s="194" t="n"/>
      <c r="B226" s="126" t="n"/>
      <c r="C226" s="194" t="n"/>
      <c r="D226" s="194" t="n"/>
      <c r="E226" s="194" t="n"/>
    </row>
    <row r="227" ht="12" customHeight="1" s="1">
      <c r="A227" s="194" t="n"/>
      <c r="B227" s="126" t="n"/>
      <c r="C227" s="194" t="n"/>
      <c r="D227" s="194" t="n"/>
      <c r="E227" s="194" t="n"/>
    </row>
    <row r="228" ht="12" customHeight="1" s="1">
      <c r="A228" s="194" t="n"/>
      <c r="B228" s="126" t="n"/>
      <c r="C228" s="194" t="n"/>
      <c r="D228" s="194" t="n"/>
      <c r="E228" s="194" t="n"/>
    </row>
    <row r="229" ht="12" customHeight="1" s="1">
      <c r="A229" s="194" t="n"/>
      <c r="B229" s="126" t="n"/>
      <c r="C229" s="194" t="n"/>
      <c r="D229" s="194" t="n"/>
      <c r="E229" s="194" t="n"/>
    </row>
    <row r="230" ht="12" customHeight="1" s="1">
      <c r="A230" s="194" t="n"/>
      <c r="B230" s="126" t="n"/>
      <c r="C230" s="194" t="n"/>
      <c r="D230" s="194" t="n"/>
      <c r="E230" s="194" t="n"/>
    </row>
    <row r="231" ht="12" customHeight="1" s="1">
      <c r="A231" s="194" t="n"/>
      <c r="B231" s="126" t="n"/>
      <c r="C231" s="194" t="n"/>
      <c r="D231" s="194" t="n"/>
      <c r="E231" s="194" t="n"/>
    </row>
    <row r="232" ht="12" customHeight="1" s="1">
      <c r="A232" s="194" t="n"/>
      <c r="B232" s="126" t="n"/>
      <c r="C232" s="194" t="n"/>
      <c r="D232" s="194" t="n"/>
      <c r="E232" s="194" t="n"/>
    </row>
    <row r="233" ht="12" customHeight="1" s="1">
      <c r="A233" s="194" t="n"/>
      <c r="B233" s="126" t="n"/>
      <c r="C233" s="194" t="n"/>
      <c r="D233" s="194" t="n"/>
      <c r="E233" s="194" t="n"/>
    </row>
    <row r="234" ht="12" customHeight="1" s="1">
      <c r="A234" s="194" t="n"/>
      <c r="B234" s="126" t="n"/>
      <c r="C234" s="194" t="n"/>
      <c r="D234" s="194" t="n"/>
      <c r="E234" s="194" t="n"/>
    </row>
    <row r="235" ht="12" customHeight="1" s="1">
      <c r="A235" s="194" t="n"/>
      <c r="B235" s="126" t="n"/>
      <c r="C235" s="194" t="n"/>
      <c r="D235" s="194" t="n"/>
      <c r="E235" s="194" t="n"/>
    </row>
    <row r="236" ht="12" customHeight="1" s="1">
      <c r="A236" s="194" t="n"/>
      <c r="B236" s="126" t="n"/>
      <c r="C236" s="194" t="n"/>
      <c r="D236" s="194" t="n"/>
      <c r="E236" s="194" t="n"/>
    </row>
    <row r="237" ht="12" customHeight="1" s="1">
      <c r="A237" s="194" t="n"/>
      <c r="B237" s="126" t="n"/>
      <c r="C237" s="194" t="n"/>
      <c r="D237" s="194" t="n"/>
      <c r="E237" s="194" t="n"/>
    </row>
    <row r="238" ht="12" customHeight="1" s="1">
      <c r="A238" s="194" t="n"/>
      <c r="B238" s="126" t="n"/>
      <c r="C238" s="194" t="n"/>
      <c r="D238" s="194" t="n"/>
      <c r="E238" s="194" t="n"/>
    </row>
    <row r="239" ht="12" customHeight="1" s="1">
      <c r="A239" s="194" t="n"/>
      <c r="B239" s="126" t="n"/>
      <c r="C239" s="194" t="n"/>
      <c r="D239" s="194" t="n"/>
      <c r="E239" s="194" t="n"/>
    </row>
    <row r="240" ht="12" customHeight="1" s="1">
      <c r="A240" s="194" t="n"/>
      <c r="B240" s="126" t="n"/>
      <c r="C240" s="194" t="n"/>
      <c r="D240" s="194" t="n"/>
      <c r="E240" s="194" t="n"/>
    </row>
    <row r="241" ht="12" customHeight="1" s="1">
      <c r="A241" s="194" t="n"/>
      <c r="B241" s="126" t="n"/>
      <c r="C241" s="194" t="n"/>
      <c r="D241" s="194" t="n"/>
      <c r="E241" s="194" t="n"/>
    </row>
    <row r="242" ht="12" customHeight="1" s="1">
      <c r="A242" s="194" t="n"/>
      <c r="B242" s="126" t="n"/>
      <c r="C242" s="194" t="n"/>
      <c r="D242" s="194" t="n"/>
      <c r="E242" s="194" t="n"/>
    </row>
    <row r="243" ht="12" customHeight="1" s="1">
      <c r="A243" s="194" t="n"/>
      <c r="B243" s="126" t="n"/>
      <c r="C243" s="194" t="n"/>
      <c r="D243" s="194" t="n"/>
      <c r="E243" s="194" t="n"/>
    </row>
    <row r="244" ht="12" customHeight="1" s="1">
      <c r="A244" s="194" t="n"/>
      <c r="B244" s="126" t="n"/>
      <c r="C244" s="194" t="n"/>
      <c r="D244" s="194" t="n"/>
      <c r="E244" s="194" t="n"/>
    </row>
    <row r="245" ht="12" customHeight="1" s="1">
      <c r="A245" s="194" t="n"/>
      <c r="B245" s="126" t="n"/>
      <c r="C245" s="194" t="n"/>
      <c r="D245" s="194" t="n"/>
      <c r="E245" s="194" t="n"/>
    </row>
    <row r="246" ht="12" customHeight="1" s="1">
      <c r="A246" s="194" t="n"/>
      <c r="B246" s="126" t="n"/>
      <c r="C246" s="194" t="n"/>
      <c r="D246" s="194" t="n"/>
      <c r="E246" s="194" t="n"/>
    </row>
    <row r="247" ht="12" customHeight="1" s="1">
      <c r="A247" s="194" t="n"/>
      <c r="B247" s="126" t="n"/>
      <c r="C247" s="194" t="n"/>
      <c r="D247" s="194" t="n"/>
      <c r="E247" s="194" t="n"/>
    </row>
    <row r="248" ht="12" customHeight="1" s="1">
      <c r="A248" s="194" t="n"/>
      <c r="B248" s="126" t="n"/>
      <c r="C248" s="194" t="n"/>
      <c r="D248" s="194" t="n"/>
      <c r="E248" s="194" t="n"/>
    </row>
    <row r="249" ht="12" customHeight="1" s="1">
      <c r="A249" s="194" t="n"/>
      <c r="B249" s="126" t="n"/>
      <c r="C249" s="194" t="n"/>
      <c r="D249" s="194" t="n"/>
      <c r="E249" s="194" t="n"/>
    </row>
    <row r="250" ht="12" customHeight="1" s="1">
      <c r="A250" s="194" t="n"/>
      <c r="B250" s="126" t="n"/>
      <c r="C250" s="194" t="n"/>
      <c r="D250" s="194" t="n"/>
      <c r="E250" s="194" t="n"/>
    </row>
    <row r="251" ht="12" customHeight="1" s="1">
      <c r="A251" s="194" t="n"/>
      <c r="B251" s="126" t="n"/>
      <c r="C251" s="194" t="n"/>
      <c r="D251" s="194" t="n"/>
      <c r="E251" s="194" t="n"/>
    </row>
    <row r="252" ht="12" customHeight="1" s="1">
      <c r="A252" s="194" t="n"/>
      <c r="B252" s="126" t="n"/>
      <c r="C252" s="194" t="n"/>
      <c r="D252" s="194" t="n"/>
      <c r="E252" s="194" t="n"/>
    </row>
    <row r="253" ht="12" customHeight="1" s="1">
      <c r="A253" s="194" t="n"/>
      <c r="B253" s="126" t="n"/>
      <c r="C253" s="194" t="n"/>
      <c r="D253" s="194" t="n"/>
      <c r="E253" s="194" t="n"/>
    </row>
    <row r="254" ht="12" customHeight="1" s="1">
      <c r="A254" s="194" t="n"/>
      <c r="B254" s="126" t="n"/>
      <c r="C254" s="194" t="n"/>
      <c r="D254" s="194" t="n"/>
      <c r="E254" s="194" t="n"/>
    </row>
    <row r="255" ht="12" customHeight="1" s="1">
      <c r="A255" s="194" t="n"/>
      <c r="B255" s="126" t="n"/>
      <c r="C255" s="194" t="n"/>
      <c r="D255" s="194" t="n"/>
      <c r="E255" s="194" t="n"/>
    </row>
    <row r="256" ht="12" customHeight="1" s="1">
      <c r="A256" s="194" t="n"/>
      <c r="B256" s="126" t="n"/>
      <c r="C256" s="194" t="n"/>
      <c r="D256" s="194" t="n"/>
      <c r="E256" s="194" t="n"/>
    </row>
    <row r="257" ht="12" customHeight="1" s="1">
      <c r="A257" s="194" t="n"/>
      <c r="B257" s="126" t="n"/>
      <c r="C257" s="194" t="n"/>
      <c r="D257" s="194" t="n"/>
      <c r="E257" s="194" t="n"/>
    </row>
    <row r="258" ht="12" customHeight="1" s="1">
      <c r="A258" s="194" t="n"/>
      <c r="B258" s="126" t="n"/>
      <c r="C258" s="194" t="n"/>
      <c r="D258" s="194" t="n"/>
      <c r="E258" s="194" t="n"/>
    </row>
    <row r="259" ht="12" customHeight="1" s="1">
      <c r="A259" s="194" t="n"/>
      <c r="B259" s="126" t="n"/>
      <c r="C259" s="194" t="n"/>
      <c r="D259" s="194" t="n"/>
      <c r="E259" s="194" t="n"/>
    </row>
    <row r="260" ht="12" customHeight="1" s="1">
      <c r="A260" s="194" t="n"/>
      <c r="B260" s="126" t="n"/>
      <c r="C260" s="194" t="n"/>
      <c r="D260" s="194" t="n"/>
      <c r="E260" s="194" t="n"/>
    </row>
    <row r="261" ht="12" customHeight="1" s="1">
      <c r="A261" s="194" t="n"/>
      <c r="B261" s="126" t="n"/>
      <c r="C261" s="194" t="n"/>
      <c r="D261" s="194" t="n"/>
      <c r="E261" s="194" t="n"/>
    </row>
    <row r="262" ht="12" customHeight="1" s="1">
      <c r="A262" s="194" t="n"/>
      <c r="B262" s="126" t="n"/>
      <c r="C262" s="194" t="n"/>
      <c r="D262" s="194" t="n"/>
      <c r="E262" s="194" t="n"/>
    </row>
    <row r="263" ht="12" customHeight="1" s="1">
      <c r="A263" s="194" t="n"/>
      <c r="B263" s="126" t="n"/>
      <c r="C263" s="194" t="n"/>
      <c r="D263" s="194" t="n"/>
      <c r="E263" s="194" t="n"/>
    </row>
    <row r="264" ht="12" customHeight="1" s="1">
      <c r="A264" s="194" t="n"/>
      <c r="B264" s="126" t="n"/>
      <c r="C264" s="194" t="n"/>
      <c r="D264" s="194" t="n"/>
      <c r="E264" s="194" t="n"/>
    </row>
    <row r="265" ht="12" customHeight="1" s="1">
      <c r="A265" s="194" t="n"/>
      <c r="B265" s="126" t="n"/>
      <c r="C265" s="194" t="n"/>
      <c r="D265" s="194" t="n"/>
      <c r="E265" s="194" t="n"/>
    </row>
    <row r="266" ht="12" customHeight="1" s="1">
      <c r="A266" s="194" t="n"/>
      <c r="B266" s="126" t="n"/>
      <c r="C266" s="194" t="n"/>
      <c r="D266" s="194" t="n"/>
      <c r="E266" s="194" t="n"/>
    </row>
    <row r="267" ht="12" customHeight="1" s="1">
      <c r="A267" s="194" t="n"/>
      <c r="B267" s="126" t="n"/>
      <c r="C267" s="194" t="n"/>
      <c r="D267" s="194" t="n"/>
      <c r="E267" s="194" t="n"/>
    </row>
    <row r="268" ht="12" customHeight="1" s="1">
      <c r="A268" s="194" t="n"/>
      <c r="B268" s="126" t="n"/>
      <c r="C268" s="194" t="n"/>
      <c r="D268" s="194" t="n"/>
      <c r="E268" s="194" t="n"/>
    </row>
    <row r="269" ht="12" customHeight="1" s="1">
      <c r="A269" s="194" t="n"/>
      <c r="B269" s="126" t="n"/>
      <c r="C269" s="194" t="n"/>
      <c r="D269" s="194" t="n"/>
      <c r="E269" s="194" t="n"/>
    </row>
    <row r="270" ht="12" customHeight="1" s="1">
      <c r="A270" s="194" t="n"/>
      <c r="B270" s="126" t="n"/>
      <c r="C270" s="194" t="n"/>
      <c r="D270" s="194" t="n"/>
      <c r="E270" s="194" t="n"/>
    </row>
    <row r="271" ht="12" customHeight="1" s="1">
      <c r="A271" s="194" t="n"/>
      <c r="B271" s="126" t="n"/>
      <c r="C271" s="194" t="n"/>
      <c r="D271" s="194" t="n"/>
      <c r="E271" s="194" t="n"/>
    </row>
    <row r="272" ht="12" customHeight="1" s="1">
      <c r="A272" s="194" t="n"/>
      <c r="B272" s="126" t="n"/>
      <c r="C272" s="194" t="n"/>
      <c r="D272" s="194" t="n"/>
      <c r="E272" s="194" t="n"/>
    </row>
    <row r="273" ht="12" customHeight="1" s="1">
      <c r="A273" s="194" t="n"/>
      <c r="B273" s="126" t="n"/>
      <c r="C273" s="194" t="n"/>
      <c r="D273" s="194" t="n"/>
      <c r="E273" s="194" t="n"/>
    </row>
    <row r="274" ht="15.75" customHeight="1" s="1">
      <c r="A274" s="194" t="n"/>
      <c r="B274" s="126" t="n"/>
      <c r="C274" s="194" t="n"/>
      <c r="D274" s="194" t="n"/>
      <c r="E274" s="194" t="n"/>
    </row>
    <row r="275" ht="15.75" customHeight="1" s="1">
      <c r="A275" s="194" t="n"/>
      <c r="B275" s="126" t="n"/>
      <c r="C275" s="194" t="n"/>
      <c r="D275" s="194" t="n"/>
      <c r="E275" s="194" t="n"/>
    </row>
    <row r="276" ht="15.75" customHeight="1" s="1">
      <c r="A276" s="194" t="n"/>
      <c r="B276" s="126" t="n"/>
      <c r="C276" s="194" t="n"/>
      <c r="D276" s="194" t="n"/>
      <c r="E276" s="194" t="n"/>
    </row>
    <row r="277" ht="15.75" customHeight="1" s="1">
      <c r="A277" s="194" t="n"/>
      <c r="B277" s="126" t="n"/>
      <c r="C277" s="194" t="n"/>
      <c r="D277" s="194" t="n"/>
      <c r="E277" s="194" t="n"/>
    </row>
    <row r="278" ht="15.75" customHeight="1" s="1">
      <c r="A278" s="194" t="n"/>
      <c r="B278" s="126" t="n"/>
      <c r="C278" s="194" t="n"/>
      <c r="D278" s="194" t="n"/>
      <c r="E278" s="194" t="n"/>
    </row>
    <row r="279" ht="15.75" customHeight="1" s="1">
      <c r="A279" s="194" t="n"/>
      <c r="B279" s="126" t="n"/>
      <c r="C279" s="194" t="n"/>
      <c r="D279" s="194" t="n"/>
      <c r="E279" s="194" t="n"/>
    </row>
    <row r="280" ht="15.75" customHeight="1" s="1">
      <c r="A280" s="194" t="n"/>
      <c r="B280" s="126" t="n"/>
      <c r="C280" s="194" t="n"/>
      <c r="D280" s="194" t="n"/>
      <c r="E280" s="194" t="n"/>
    </row>
    <row r="281" ht="15.75" customHeight="1" s="1">
      <c r="A281" s="194" t="n"/>
      <c r="B281" s="126" t="n"/>
      <c r="C281" s="194" t="n"/>
      <c r="D281" s="194" t="n"/>
      <c r="E281" s="194" t="n"/>
    </row>
    <row r="282" ht="15.75" customHeight="1" s="1">
      <c r="A282" s="194" t="n"/>
      <c r="B282" s="126" t="n"/>
      <c r="C282" s="194" t="n"/>
      <c r="D282" s="194" t="n"/>
      <c r="E282" s="194" t="n"/>
    </row>
    <row r="283" ht="15.75" customHeight="1" s="1">
      <c r="A283" s="194" t="n"/>
      <c r="B283" s="126" t="n"/>
      <c r="C283" s="194" t="n"/>
      <c r="D283" s="194" t="n"/>
      <c r="E283" s="194" t="n"/>
    </row>
    <row r="284" ht="15.75" customHeight="1" s="1">
      <c r="A284" s="194" t="n"/>
      <c r="B284" s="126" t="n"/>
      <c r="C284" s="194" t="n"/>
      <c r="D284" s="194" t="n"/>
      <c r="E284" s="194" t="n"/>
    </row>
    <row r="285" ht="15.75" customHeight="1" s="1">
      <c r="A285" s="194" t="n"/>
      <c r="B285" s="126" t="n"/>
      <c r="C285" s="194" t="n"/>
      <c r="D285" s="194" t="n"/>
      <c r="E285" s="194" t="n"/>
    </row>
    <row r="286" ht="15.75" customHeight="1" s="1">
      <c r="A286" s="194" t="n"/>
      <c r="B286" s="126" t="n"/>
      <c r="C286" s="194" t="n"/>
      <c r="D286" s="194" t="n"/>
      <c r="E286" s="194" t="n"/>
    </row>
    <row r="287" ht="15.75" customHeight="1" s="1">
      <c r="A287" s="194" t="n"/>
      <c r="B287" s="126" t="n"/>
      <c r="C287" s="194" t="n"/>
      <c r="D287" s="194" t="n"/>
      <c r="E287" s="194" t="n"/>
    </row>
    <row r="288" ht="15.75" customHeight="1" s="1">
      <c r="A288" s="194" t="n"/>
      <c r="B288" s="126" t="n"/>
      <c r="C288" s="194" t="n"/>
      <c r="D288" s="194" t="n"/>
      <c r="E288" s="194" t="n"/>
    </row>
    <row r="289" ht="15.75" customHeight="1" s="1">
      <c r="A289" s="194" t="n"/>
      <c r="B289" s="126" t="n"/>
      <c r="C289" s="194" t="n"/>
      <c r="D289" s="194" t="n"/>
      <c r="E289" s="194" t="n"/>
    </row>
    <row r="290" ht="15.75" customHeight="1" s="1">
      <c r="A290" s="194" t="n"/>
      <c r="B290" s="126" t="n"/>
      <c r="C290" s="194" t="n"/>
      <c r="D290" s="194" t="n"/>
      <c r="E290" s="194" t="n"/>
    </row>
    <row r="291" ht="15.75" customHeight="1" s="1">
      <c r="A291" s="194" t="n"/>
      <c r="B291" s="126" t="n"/>
      <c r="C291" s="194" t="n"/>
      <c r="D291" s="194" t="n"/>
      <c r="E291" s="194" t="n"/>
    </row>
    <row r="292" ht="15.75" customHeight="1" s="1">
      <c r="A292" s="194" t="n"/>
      <c r="B292" s="126" t="n"/>
      <c r="C292" s="194" t="n"/>
      <c r="D292" s="194" t="n"/>
      <c r="E292" s="194" t="n"/>
    </row>
    <row r="293" ht="15.75" customHeight="1" s="1">
      <c r="A293" s="194" t="n"/>
      <c r="B293" s="126" t="n"/>
      <c r="C293" s="194" t="n"/>
      <c r="D293" s="194" t="n"/>
      <c r="E293" s="194" t="n"/>
    </row>
    <row r="294" ht="15.75" customHeight="1" s="1">
      <c r="A294" s="194" t="n"/>
      <c r="B294" s="126" t="n"/>
      <c r="C294" s="194" t="n"/>
      <c r="D294" s="194" t="n"/>
      <c r="E294" s="194" t="n"/>
    </row>
    <row r="295" ht="15.75" customHeight="1" s="1">
      <c r="A295" s="194" t="n"/>
      <c r="B295" s="126" t="n"/>
      <c r="C295" s="194" t="n"/>
      <c r="D295" s="194" t="n"/>
      <c r="E295" s="194" t="n"/>
    </row>
    <row r="296" ht="15.75" customHeight="1" s="1">
      <c r="A296" s="194" t="n"/>
      <c r="B296" s="126" t="n"/>
      <c r="C296" s="194" t="n"/>
      <c r="D296" s="194" t="n"/>
      <c r="E296" s="194" t="n"/>
    </row>
    <row r="297" ht="15.75" customHeight="1" s="1">
      <c r="A297" s="194" t="n"/>
      <c r="B297" s="126" t="n"/>
      <c r="C297" s="194" t="n"/>
      <c r="D297" s="194" t="n"/>
      <c r="E297" s="194" t="n"/>
    </row>
    <row r="298" ht="15.75" customHeight="1" s="1">
      <c r="A298" s="194" t="n"/>
      <c r="B298" s="126" t="n"/>
      <c r="C298" s="194" t="n"/>
      <c r="D298" s="194" t="n"/>
      <c r="E298" s="194" t="n"/>
    </row>
    <row r="299" ht="15.75" customHeight="1" s="1">
      <c r="A299" s="194" t="n"/>
      <c r="B299" s="126" t="n"/>
      <c r="C299" s="194" t="n"/>
      <c r="D299" s="194" t="n"/>
      <c r="E299" s="194" t="n"/>
    </row>
    <row r="300" ht="15.75" customHeight="1" s="1">
      <c r="A300" s="194" t="n"/>
      <c r="B300" s="126" t="n"/>
      <c r="C300" s="194" t="n"/>
      <c r="D300" s="194" t="n"/>
      <c r="E300" s="194" t="n"/>
    </row>
    <row r="301" ht="15.75" customHeight="1" s="1">
      <c r="A301" s="194" t="n"/>
      <c r="B301" s="126" t="n"/>
      <c r="C301" s="194" t="n"/>
      <c r="D301" s="194" t="n"/>
      <c r="E301" s="194" t="n"/>
    </row>
    <row r="302" ht="15.75" customHeight="1" s="1">
      <c r="A302" s="194" t="n"/>
      <c r="B302" s="126" t="n"/>
      <c r="C302" s="194" t="n"/>
      <c r="D302" s="194" t="n"/>
      <c r="E302" s="194" t="n"/>
    </row>
    <row r="303" ht="15.75" customHeight="1" s="1">
      <c r="A303" s="194" t="n"/>
      <c r="B303" s="126" t="n"/>
      <c r="C303" s="194" t="n"/>
      <c r="D303" s="194" t="n"/>
      <c r="E303" s="194" t="n"/>
    </row>
    <row r="304" ht="15.75" customHeight="1" s="1">
      <c r="A304" s="194" t="n"/>
      <c r="B304" s="126" t="n"/>
      <c r="C304" s="194" t="n"/>
      <c r="D304" s="194" t="n"/>
      <c r="E304" s="194" t="n"/>
    </row>
    <row r="305" ht="15.75" customHeight="1" s="1">
      <c r="A305" s="194" t="n"/>
      <c r="B305" s="126" t="n"/>
      <c r="C305" s="194" t="n"/>
      <c r="D305" s="194" t="n"/>
      <c r="E305" s="194" t="n"/>
    </row>
    <row r="306" ht="15.75" customHeight="1" s="1">
      <c r="A306" s="194" t="n"/>
      <c r="B306" s="126" t="n"/>
      <c r="C306" s="194" t="n"/>
      <c r="D306" s="194" t="n"/>
      <c r="E306" s="194" t="n"/>
    </row>
    <row r="307" ht="15.75" customHeight="1" s="1">
      <c r="A307" s="194" t="n"/>
      <c r="B307" s="126" t="n"/>
      <c r="C307" s="194" t="n"/>
      <c r="D307" s="194" t="n"/>
      <c r="E307" s="194" t="n"/>
    </row>
    <row r="308" ht="15.75" customHeight="1" s="1">
      <c r="A308" s="194" t="n"/>
      <c r="B308" s="126" t="n"/>
      <c r="C308" s="194" t="n"/>
      <c r="D308" s="194" t="n"/>
      <c r="E308" s="194" t="n"/>
    </row>
    <row r="309" ht="15.75" customHeight="1" s="1">
      <c r="A309" s="194" t="n"/>
      <c r="B309" s="126" t="n"/>
      <c r="C309" s="194" t="n"/>
      <c r="D309" s="194" t="n"/>
      <c r="E309" s="194" t="n"/>
    </row>
    <row r="310" ht="15.75" customHeight="1" s="1">
      <c r="A310" s="194" t="n"/>
      <c r="B310" s="126" t="n"/>
      <c r="C310" s="194" t="n"/>
      <c r="D310" s="194" t="n"/>
      <c r="E310" s="194" t="n"/>
    </row>
    <row r="311" ht="15.75" customHeight="1" s="1">
      <c r="A311" s="194" t="n"/>
      <c r="B311" s="126" t="n"/>
      <c r="C311" s="194" t="n"/>
      <c r="D311" s="194" t="n"/>
      <c r="E311" s="194" t="n"/>
    </row>
    <row r="312" ht="15.75" customHeight="1" s="1">
      <c r="A312" s="194" t="n"/>
      <c r="B312" s="126" t="n"/>
      <c r="C312" s="194" t="n"/>
      <c r="D312" s="194" t="n"/>
      <c r="E312" s="194" t="n"/>
    </row>
    <row r="313" ht="15.75" customHeight="1" s="1">
      <c r="A313" s="194" t="n"/>
      <c r="B313" s="126" t="n"/>
      <c r="C313" s="194" t="n"/>
      <c r="D313" s="194" t="n"/>
      <c r="E313" s="194" t="n"/>
    </row>
    <row r="314" ht="15.75" customHeight="1" s="1">
      <c r="A314" s="194" t="n"/>
      <c r="B314" s="126" t="n"/>
      <c r="C314" s="194" t="n"/>
      <c r="D314" s="194" t="n"/>
      <c r="E314" s="194" t="n"/>
    </row>
    <row r="315" ht="15.75" customHeight="1" s="1">
      <c r="A315" s="194" t="n"/>
      <c r="B315" s="126" t="n"/>
      <c r="C315" s="194" t="n"/>
      <c r="D315" s="194" t="n"/>
      <c r="E315" s="194" t="n"/>
    </row>
    <row r="316" ht="15.75" customHeight="1" s="1">
      <c r="A316" s="194" t="n"/>
      <c r="B316" s="126" t="n"/>
      <c r="C316" s="194" t="n"/>
      <c r="D316" s="194" t="n"/>
      <c r="E316" s="194" t="n"/>
    </row>
    <row r="317" ht="15.75" customHeight="1" s="1">
      <c r="A317" s="194" t="n"/>
      <c r="B317" s="126" t="n"/>
      <c r="C317" s="194" t="n"/>
      <c r="D317" s="194" t="n"/>
      <c r="E317" s="194" t="n"/>
    </row>
    <row r="318" ht="15.75" customHeight="1" s="1">
      <c r="A318" s="194" t="n"/>
      <c r="B318" s="126" t="n"/>
      <c r="C318" s="194" t="n"/>
      <c r="D318" s="194" t="n"/>
      <c r="E318" s="194" t="n"/>
    </row>
    <row r="319" ht="15.75" customHeight="1" s="1">
      <c r="A319" s="194" t="n"/>
      <c r="B319" s="126" t="n"/>
      <c r="C319" s="194" t="n"/>
      <c r="D319" s="194" t="n"/>
      <c r="E319" s="194" t="n"/>
    </row>
    <row r="320" ht="15.75" customHeight="1" s="1">
      <c r="A320" s="194" t="n"/>
      <c r="B320" s="126" t="n"/>
      <c r="C320" s="194" t="n"/>
      <c r="D320" s="194" t="n"/>
      <c r="E320" s="194" t="n"/>
    </row>
    <row r="321" ht="15.75" customHeight="1" s="1">
      <c r="A321" s="194" t="n"/>
      <c r="B321" s="126" t="n"/>
      <c r="C321" s="194" t="n"/>
      <c r="D321" s="194" t="n"/>
      <c r="E321" s="194" t="n"/>
    </row>
    <row r="322" ht="15.75" customHeight="1" s="1">
      <c r="A322" s="194" t="n"/>
      <c r="B322" s="126" t="n"/>
      <c r="C322" s="194" t="n"/>
      <c r="D322" s="194" t="n"/>
      <c r="E322" s="194" t="n"/>
    </row>
    <row r="323" ht="15.75" customHeight="1" s="1">
      <c r="A323" s="194" t="n"/>
      <c r="B323" s="126" t="n"/>
      <c r="C323" s="194" t="n"/>
      <c r="D323" s="194" t="n"/>
      <c r="E323" s="194" t="n"/>
    </row>
    <row r="324" ht="15.75" customHeight="1" s="1">
      <c r="A324" s="194" t="n"/>
      <c r="B324" s="126" t="n"/>
      <c r="C324" s="194" t="n"/>
      <c r="D324" s="194" t="n"/>
      <c r="E324" s="194" t="n"/>
    </row>
    <row r="325" ht="15.75" customHeight="1" s="1">
      <c r="A325" s="194" t="n"/>
      <c r="B325" s="126" t="n"/>
      <c r="C325" s="194" t="n"/>
      <c r="D325" s="194" t="n"/>
      <c r="E325" s="194" t="n"/>
    </row>
    <row r="326" ht="15.75" customHeight="1" s="1">
      <c r="A326" s="194" t="n"/>
      <c r="B326" s="126" t="n"/>
      <c r="C326" s="194" t="n"/>
      <c r="D326" s="194" t="n"/>
      <c r="E326" s="194" t="n"/>
    </row>
    <row r="327" ht="15.75" customHeight="1" s="1">
      <c r="A327" s="194" t="n"/>
      <c r="B327" s="126" t="n"/>
      <c r="C327" s="194" t="n"/>
      <c r="D327" s="194" t="n"/>
      <c r="E327" s="194" t="n"/>
    </row>
    <row r="328" ht="15.75" customHeight="1" s="1">
      <c r="A328" s="194" t="n"/>
      <c r="B328" s="126" t="n"/>
      <c r="C328" s="194" t="n"/>
      <c r="D328" s="194" t="n"/>
      <c r="E328" s="194" t="n"/>
    </row>
    <row r="329" ht="15.75" customHeight="1" s="1">
      <c r="A329" s="194" t="n"/>
      <c r="B329" s="126" t="n"/>
      <c r="C329" s="194" t="n"/>
      <c r="D329" s="194" t="n"/>
      <c r="E329" s="194" t="n"/>
    </row>
    <row r="330" ht="15.75" customHeight="1" s="1">
      <c r="A330" s="194" t="n"/>
      <c r="B330" s="126" t="n"/>
      <c r="C330" s="194" t="n"/>
      <c r="D330" s="194" t="n"/>
      <c r="E330" s="194" t="n"/>
    </row>
    <row r="331" ht="15.75" customHeight="1" s="1">
      <c r="A331" s="194" t="n"/>
      <c r="B331" s="126" t="n"/>
      <c r="C331" s="194" t="n"/>
      <c r="D331" s="194" t="n"/>
      <c r="E331" s="194" t="n"/>
    </row>
    <row r="332" ht="15.75" customHeight="1" s="1">
      <c r="A332" s="194" t="n"/>
      <c r="B332" s="126" t="n"/>
      <c r="C332" s="194" t="n"/>
      <c r="D332" s="194" t="n"/>
      <c r="E332" s="194" t="n"/>
    </row>
    <row r="333" ht="15.75" customHeight="1" s="1">
      <c r="A333" s="194" t="n"/>
      <c r="B333" s="126" t="n"/>
      <c r="C333" s="194" t="n"/>
      <c r="D333" s="194" t="n"/>
      <c r="E333" s="194" t="n"/>
    </row>
    <row r="334" ht="15.75" customHeight="1" s="1">
      <c r="A334" s="194" t="n"/>
      <c r="B334" s="126" t="n"/>
      <c r="C334" s="194" t="n"/>
      <c r="D334" s="194" t="n"/>
      <c r="E334" s="194" t="n"/>
    </row>
    <row r="335" ht="15.75" customHeight="1" s="1">
      <c r="A335" s="194" t="n"/>
      <c r="B335" s="126" t="n"/>
      <c r="C335" s="194" t="n"/>
      <c r="D335" s="194" t="n"/>
      <c r="E335" s="194" t="n"/>
    </row>
    <row r="336" ht="15.75" customHeight="1" s="1">
      <c r="A336" s="194" t="n"/>
      <c r="B336" s="126" t="n"/>
      <c r="C336" s="194" t="n"/>
      <c r="D336" s="194" t="n"/>
      <c r="E336" s="194" t="n"/>
    </row>
    <row r="337" ht="15.75" customHeight="1" s="1">
      <c r="A337" s="194" t="n"/>
      <c r="B337" s="126" t="n"/>
      <c r="C337" s="194" t="n"/>
      <c r="D337" s="194" t="n"/>
      <c r="E337" s="194" t="n"/>
    </row>
    <row r="338" ht="15.75" customHeight="1" s="1">
      <c r="A338" s="194" t="n"/>
      <c r="B338" s="126" t="n"/>
      <c r="C338" s="194" t="n"/>
      <c r="D338" s="194" t="n"/>
      <c r="E338" s="194" t="n"/>
    </row>
    <row r="339" ht="15.75" customHeight="1" s="1">
      <c r="A339" s="194" t="n"/>
      <c r="B339" s="126" t="n"/>
      <c r="C339" s="194" t="n"/>
      <c r="D339" s="194" t="n"/>
      <c r="E339" s="194" t="n"/>
    </row>
    <row r="340" ht="15.75" customHeight="1" s="1">
      <c r="A340" s="194" t="n"/>
      <c r="B340" s="126" t="n"/>
      <c r="C340" s="194" t="n"/>
      <c r="D340" s="194" t="n"/>
      <c r="E340" s="194" t="n"/>
    </row>
    <row r="341" ht="15.75" customHeight="1" s="1">
      <c r="A341" s="194" t="n"/>
      <c r="B341" s="126" t="n"/>
      <c r="C341" s="194" t="n"/>
      <c r="D341" s="194" t="n"/>
      <c r="E341" s="194" t="n"/>
    </row>
    <row r="342" ht="15.75" customHeight="1" s="1">
      <c r="A342" s="194" t="n"/>
      <c r="B342" s="126" t="n"/>
      <c r="C342" s="194" t="n"/>
      <c r="D342" s="194" t="n"/>
      <c r="E342" s="194" t="n"/>
    </row>
    <row r="343" ht="15.75" customHeight="1" s="1">
      <c r="A343" s="194" t="n"/>
      <c r="B343" s="126" t="n"/>
      <c r="C343" s="194" t="n"/>
      <c r="D343" s="194" t="n"/>
      <c r="E343" s="194" t="n"/>
    </row>
    <row r="344" ht="15.75" customHeight="1" s="1">
      <c r="A344" s="194" t="n"/>
      <c r="B344" s="126" t="n"/>
      <c r="C344" s="194" t="n"/>
      <c r="D344" s="194" t="n"/>
      <c r="E344" s="194" t="n"/>
    </row>
    <row r="345" ht="15.75" customHeight="1" s="1">
      <c r="A345" s="194" t="n"/>
      <c r="B345" s="126" t="n"/>
      <c r="C345" s="194" t="n"/>
      <c r="D345" s="194" t="n"/>
      <c r="E345" s="194" t="n"/>
    </row>
    <row r="346" ht="15.75" customHeight="1" s="1">
      <c r="A346" s="194" t="n"/>
      <c r="B346" s="126" t="n"/>
      <c r="C346" s="194" t="n"/>
      <c r="D346" s="194" t="n"/>
      <c r="E346" s="194" t="n"/>
    </row>
    <row r="347" ht="15.75" customHeight="1" s="1">
      <c r="A347" s="194" t="n"/>
      <c r="B347" s="126" t="n"/>
      <c r="C347" s="194" t="n"/>
      <c r="D347" s="194" t="n"/>
      <c r="E347" s="194" t="n"/>
    </row>
    <row r="348" ht="15.75" customHeight="1" s="1">
      <c r="A348" s="194" t="n"/>
      <c r="B348" s="126" t="n"/>
      <c r="C348" s="194" t="n"/>
      <c r="D348" s="194" t="n"/>
      <c r="E348" s="194" t="n"/>
    </row>
    <row r="349" ht="15.75" customHeight="1" s="1">
      <c r="A349" s="194" t="n"/>
      <c r="B349" s="126" t="n"/>
      <c r="C349" s="194" t="n"/>
      <c r="D349" s="194" t="n"/>
      <c r="E349" s="194" t="n"/>
    </row>
    <row r="350" ht="15.75" customHeight="1" s="1">
      <c r="A350" s="194" t="n"/>
      <c r="B350" s="126" t="n"/>
      <c r="C350" s="194" t="n"/>
      <c r="D350" s="194" t="n"/>
      <c r="E350" s="194" t="n"/>
    </row>
    <row r="351" ht="15.75" customHeight="1" s="1">
      <c r="A351" s="194" t="n"/>
      <c r="B351" s="126" t="n"/>
      <c r="C351" s="194" t="n"/>
      <c r="D351" s="194" t="n"/>
      <c r="E351" s="194" t="n"/>
    </row>
    <row r="352" ht="15.75" customHeight="1" s="1">
      <c r="A352" s="194" t="n"/>
      <c r="B352" s="126" t="n"/>
      <c r="C352" s="194" t="n"/>
      <c r="D352" s="194" t="n"/>
      <c r="E352" s="194" t="n"/>
    </row>
    <row r="353" ht="15.75" customHeight="1" s="1">
      <c r="A353" s="194" t="n"/>
      <c r="B353" s="126" t="n"/>
      <c r="C353" s="194" t="n"/>
      <c r="D353" s="194" t="n"/>
      <c r="E353" s="194" t="n"/>
    </row>
    <row r="354" ht="15.75" customHeight="1" s="1">
      <c r="A354" s="194" t="n"/>
      <c r="B354" s="126" t="n"/>
      <c r="C354" s="194" t="n"/>
      <c r="D354" s="194" t="n"/>
      <c r="E354" s="194" t="n"/>
    </row>
    <row r="355" ht="15.75" customHeight="1" s="1">
      <c r="A355" s="194" t="n"/>
      <c r="B355" s="126" t="n"/>
      <c r="C355" s="194" t="n"/>
      <c r="D355" s="194" t="n"/>
      <c r="E355" s="194" t="n"/>
    </row>
    <row r="356" ht="15.75" customHeight="1" s="1">
      <c r="A356" s="194" t="n"/>
      <c r="B356" s="126" t="n"/>
      <c r="C356" s="194" t="n"/>
      <c r="D356" s="194" t="n"/>
      <c r="E356" s="194" t="n"/>
    </row>
    <row r="357" ht="15.75" customHeight="1" s="1">
      <c r="A357" s="194" t="n"/>
      <c r="B357" s="126" t="n"/>
      <c r="C357" s="194" t="n"/>
      <c r="D357" s="194" t="n"/>
      <c r="E357" s="194" t="n"/>
    </row>
    <row r="358" ht="15.75" customHeight="1" s="1">
      <c r="A358" s="194" t="n"/>
      <c r="B358" s="126" t="n"/>
      <c r="C358" s="194" t="n"/>
      <c r="D358" s="194" t="n"/>
      <c r="E358" s="194" t="n"/>
    </row>
    <row r="359" ht="15.75" customHeight="1" s="1">
      <c r="A359" s="194" t="n"/>
      <c r="B359" s="126" t="n"/>
      <c r="C359" s="194" t="n"/>
      <c r="D359" s="194" t="n"/>
      <c r="E359" s="194" t="n"/>
    </row>
    <row r="360" ht="15.75" customHeight="1" s="1">
      <c r="A360" s="194" t="n"/>
      <c r="B360" s="126" t="n"/>
      <c r="C360" s="194" t="n"/>
      <c r="D360" s="194" t="n"/>
      <c r="E360" s="194" t="n"/>
    </row>
    <row r="361" ht="15.75" customHeight="1" s="1">
      <c r="A361" s="194" t="n"/>
      <c r="B361" s="126" t="n"/>
      <c r="C361" s="194" t="n"/>
      <c r="D361" s="194" t="n"/>
      <c r="E361" s="194" t="n"/>
    </row>
    <row r="362" ht="15.75" customHeight="1" s="1">
      <c r="A362" s="194" t="n"/>
      <c r="B362" s="126" t="n"/>
      <c r="C362" s="194" t="n"/>
      <c r="D362" s="194" t="n"/>
      <c r="E362" s="194" t="n"/>
    </row>
    <row r="363" ht="15.75" customHeight="1" s="1">
      <c r="A363" s="194" t="n"/>
      <c r="B363" s="126" t="n"/>
      <c r="C363" s="194" t="n"/>
      <c r="D363" s="194" t="n"/>
      <c r="E363" s="194" t="n"/>
    </row>
    <row r="364" ht="15.75" customHeight="1" s="1">
      <c r="A364" s="194" t="n"/>
      <c r="B364" s="126" t="n"/>
      <c r="C364" s="194" t="n"/>
      <c r="D364" s="194" t="n"/>
      <c r="E364" s="194" t="n"/>
    </row>
    <row r="365" ht="15.75" customHeight="1" s="1">
      <c r="A365" s="194" t="n"/>
      <c r="B365" s="126" t="n"/>
      <c r="C365" s="194" t="n"/>
      <c r="D365" s="194" t="n"/>
      <c r="E365" s="194" t="n"/>
    </row>
    <row r="366" ht="15.75" customHeight="1" s="1">
      <c r="A366" s="194" t="n"/>
      <c r="B366" s="126" t="n"/>
      <c r="C366" s="194" t="n"/>
      <c r="D366" s="194" t="n"/>
      <c r="E366" s="194" t="n"/>
    </row>
    <row r="367" ht="15.75" customHeight="1" s="1">
      <c r="A367" s="194" t="n"/>
      <c r="B367" s="126" t="n"/>
      <c r="C367" s="194" t="n"/>
      <c r="D367" s="194" t="n"/>
      <c r="E367" s="194" t="n"/>
    </row>
    <row r="368" ht="15.75" customHeight="1" s="1">
      <c r="A368" s="194" t="n"/>
      <c r="B368" s="126" t="n"/>
      <c r="C368" s="194" t="n"/>
      <c r="D368" s="194" t="n"/>
      <c r="E368" s="194" t="n"/>
    </row>
    <row r="369" ht="15.75" customHeight="1" s="1">
      <c r="A369" s="194" t="n"/>
      <c r="B369" s="126" t="n"/>
      <c r="C369" s="194" t="n"/>
      <c r="D369" s="194" t="n"/>
      <c r="E369" s="194" t="n"/>
    </row>
    <row r="370" ht="15.75" customHeight="1" s="1">
      <c r="A370" s="194" t="n"/>
      <c r="B370" s="126" t="n"/>
      <c r="C370" s="194" t="n"/>
      <c r="D370" s="194" t="n"/>
      <c r="E370" s="194" t="n"/>
    </row>
    <row r="371" ht="15.75" customHeight="1" s="1">
      <c r="A371" s="194" t="n"/>
      <c r="B371" s="126" t="n"/>
      <c r="C371" s="194" t="n"/>
      <c r="D371" s="194" t="n"/>
      <c r="E371" s="194" t="n"/>
    </row>
    <row r="372" ht="15.75" customHeight="1" s="1">
      <c r="A372" s="194" t="n"/>
      <c r="B372" s="126" t="n"/>
      <c r="C372" s="194" t="n"/>
      <c r="D372" s="194" t="n"/>
      <c r="E372" s="194" t="n"/>
    </row>
    <row r="373" ht="15.75" customHeight="1" s="1">
      <c r="A373" s="194" t="n"/>
      <c r="B373" s="126" t="n"/>
      <c r="C373" s="194" t="n"/>
      <c r="D373" s="194" t="n"/>
      <c r="E373" s="194" t="n"/>
    </row>
    <row r="374" ht="15.75" customHeight="1" s="1">
      <c r="A374" s="194" t="n"/>
      <c r="B374" s="126" t="n"/>
      <c r="C374" s="194" t="n"/>
      <c r="D374" s="194" t="n"/>
      <c r="E374" s="194" t="n"/>
    </row>
    <row r="375" ht="15.75" customHeight="1" s="1">
      <c r="A375" s="194" t="n"/>
      <c r="B375" s="126" t="n"/>
      <c r="C375" s="194" t="n"/>
      <c r="D375" s="194" t="n"/>
      <c r="E375" s="194" t="n"/>
    </row>
    <row r="376" ht="15.75" customHeight="1" s="1">
      <c r="A376" s="194" t="n"/>
      <c r="B376" s="126" t="n"/>
      <c r="C376" s="194" t="n"/>
      <c r="D376" s="194" t="n"/>
      <c r="E376" s="194" t="n"/>
    </row>
    <row r="377" ht="15.75" customHeight="1" s="1">
      <c r="A377" s="194" t="n"/>
      <c r="B377" s="126" t="n"/>
      <c r="C377" s="194" t="n"/>
      <c r="D377" s="194" t="n"/>
      <c r="E377" s="194" t="n"/>
    </row>
    <row r="378" ht="15.75" customHeight="1" s="1">
      <c r="A378" s="194" t="n"/>
      <c r="B378" s="126" t="n"/>
      <c r="C378" s="194" t="n"/>
      <c r="D378" s="194" t="n"/>
      <c r="E378" s="194" t="n"/>
    </row>
    <row r="379" ht="15.75" customHeight="1" s="1">
      <c r="A379" s="194" t="n"/>
      <c r="B379" s="126" t="n"/>
      <c r="C379" s="194" t="n"/>
      <c r="D379" s="194" t="n"/>
      <c r="E379" s="194" t="n"/>
    </row>
    <row r="380" ht="15.75" customHeight="1" s="1">
      <c r="A380" s="194" t="n"/>
      <c r="B380" s="126" t="n"/>
      <c r="C380" s="194" t="n"/>
      <c r="D380" s="194" t="n"/>
      <c r="E380" s="194" t="n"/>
    </row>
    <row r="381" ht="15.75" customHeight="1" s="1">
      <c r="A381" s="194" t="n"/>
      <c r="B381" s="126" t="n"/>
      <c r="C381" s="194" t="n"/>
      <c r="D381" s="194" t="n"/>
      <c r="E381" s="194" t="n"/>
    </row>
    <row r="382" ht="15.75" customHeight="1" s="1">
      <c r="A382" s="194" t="n"/>
      <c r="B382" s="126" t="n"/>
      <c r="C382" s="194" t="n"/>
      <c r="D382" s="194" t="n"/>
      <c r="E382" s="194" t="n"/>
    </row>
    <row r="383" ht="15.75" customHeight="1" s="1">
      <c r="A383" s="194" t="n"/>
      <c r="B383" s="126" t="n"/>
      <c r="C383" s="194" t="n"/>
      <c r="D383" s="194" t="n"/>
      <c r="E383" s="194" t="n"/>
    </row>
    <row r="384" ht="15.75" customHeight="1" s="1">
      <c r="A384" s="194" t="n"/>
      <c r="B384" s="126" t="n"/>
      <c r="C384" s="194" t="n"/>
      <c r="D384" s="194" t="n"/>
      <c r="E384" s="194" t="n"/>
    </row>
    <row r="385" ht="15.75" customHeight="1" s="1">
      <c r="A385" s="194" t="n"/>
      <c r="B385" s="126" t="n"/>
      <c r="C385" s="194" t="n"/>
      <c r="D385" s="194" t="n"/>
      <c r="E385" s="194" t="n"/>
    </row>
    <row r="386" ht="15.75" customHeight="1" s="1">
      <c r="A386" s="194" t="n"/>
      <c r="B386" s="126" t="n"/>
      <c r="C386" s="194" t="n"/>
      <c r="D386" s="194" t="n"/>
      <c r="E386" s="194" t="n"/>
    </row>
    <row r="387" ht="15.75" customHeight="1" s="1">
      <c r="A387" s="194" t="n"/>
      <c r="B387" s="126" t="n"/>
      <c r="C387" s="194" t="n"/>
      <c r="D387" s="194" t="n"/>
      <c r="E387" s="194" t="n"/>
    </row>
    <row r="388" ht="15.75" customHeight="1" s="1">
      <c r="A388" s="194" t="n"/>
      <c r="B388" s="126" t="n"/>
      <c r="C388" s="194" t="n"/>
      <c r="D388" s="194" t="n"/>
      <c r="E388" s="194" t="n"/>
    </row>
    <row r="389" ht="15.75" customHeight="1" s="1">
      <c r="A389" s="194" t="n"/>
      <c r="B389" s="126" t="n"/>
      <c r="C389" s="194" t="n"/>
      <c r="D389" s="194" t="n"/>
      <c r="E389" s="194" t="n"/>
    </row>
    <row r="390" ht="15.75" customHeight="1" s="1">
      <c r="A390" s="194" t="n"/>
      <c r="B390" s="126" t="n"/>
      <c r="C390" s="194" t="n"/>
      <c r="D390" s="194" t="n"/>
      <c r="E390" s="194" t="n"/>
    </row>
    <row r="391" ht="15.75" customHeight="1" s="1">
      <c r="A391" s="194" t="n"/>
      <c r="B391" s="126" t="n"/>
      <c r="C391" s="194" t="n"/>
      <c r="D391" s="194" t="n"/>
      <c r="E391" s="194" t="n"/>
    </row>
    <row r="392" ht="15.75" customHeight="1" s="1">
      <c r="A392" s="194" t="n"/>
      <c r="B392" s="126" t="n"/>
      <c r="C392" s="194" t="n"/>
      <c r="D392" s="194" t="n"/>
      <c r="E392" s="194" t="n"/>
    </row>
    <row r="393" ht="15.75" customHeight="1" s="1">
      <c r="A393" s="194" t="n"/>
      <c r="B393" s="126" t="n"/>
      <c r="C393" s="194" t="n"/>
      <c r="D393" s="194" t="n"/>
      <c r="E393" s="194" t="n"/>
    </row>
    <row r="394" ht="15.75" customHeight="1" s="1">
      <c r="A394" s="194" t="n"/>
      <c r="B394" s="126" t="n"/>
      <c r="C394" s="194" t="n"/>
      <c r="D394" s="194" t="n"/>
      <c r="E394" s="194" t="n"/>
    </row>
    <row r="395" ht="15.75" customHeight="1" s="1">
      <c r="A395" s="194" t="n"/>
      <c r="B395" s="126" t="n"/>
      <c r="C395" s="194" t="n"/>
      <c r="D395" s="194" t="n"/>
      <c r="E395" s="194" t="n"/>
    </row>
    <row r="396" ht="15.75" customHeight="1" s="1">
      <c r="A396" s="194" t="n"/>
      <c r="B396" s="126" t="n"/>
      <c r="C396" s="194" t="n"/>
      <c r="D396" s="194" t="n"/>
      <c r="E396" s="194" t="n"/>
    </row>
    <row r="397" ht="15.75" customHeight="1" s="1">
      <c r="A397" s="194" t="n"/>
      <c r="B397" s="126" t="n"/>
      <c r="C397" s="194" t="n"/>
      <c r="D397" s="194" t="n"/>
      <c r="E397" s="194" t="n"/>
    </row>
    <row r="398" ht="15.75" customHeight="1" s="1">
      <c r="A398" s="194" t="n"/>
      <c r="B398" s="126" t="n"/>
      <c r="C398" s="194" t="n"/>
      <c r="D398" s="194" t="n"/>
      <c r="E398" s="194" t="n"/>
    </row>
    <row r="399" ht="15.75" customHeight="1" s="1">
      <c r="A399" s="194" t="n"/>
      <c r="B399" s="126" t="n"/>
      <c r="C399" s="194" t="n"/>
      <c r="D399" s="194" t="n"/>
      <c r="E399" s="194" t="n"/>
    </row>
    <row r="400" ht="15.75" customHeight="1" s="1">
      <c r="A400" s="194" t="n"/>
      <c r="B400" s="126" t="n"/>
      <c r="C400" s="194" t="n"/>
      <c r="D400" s="194" t="n"/>
      <c r="E400" s="194" t="n"/>
    </row>
    <row r="401" ht="15.75" customHeight="1" s="1">
      <c r="A401" s="194" t="n"/>
      <c r="B401" s="126" t="n"/>
      <c r="C401" s="194" t="n"/>
      <c r="D401" s="194" t="n"/>
      <c r="E401" s="194" t="n"/>
    </row>
    <row r="402" ht="15.75" customHeight="1" s="1">
      <c r="A402" s="194" t="n"/>
      <c r="B402" s="126" t="n"/>
      <c r="C402" s="194" t="n"/>
      <c r="D402" s="194" t="n"/>
      <c r="E402" s="194" t="n"/>
    </row>
    <row r="403" ht="15.75" customHeight="1" s="1">
      <c r="A403" s="194" t="n"/>
      <c r="B403" s="126" t="n"/>
      <c r="C403" s="194" t="n"/>
      <c r="D403" s="194" t="n"/>
      <c r="E403" s="194" t="n"/>
    </row>
    <row r="404" ht="15.75" customHeight="1" s="1">
      <c r="A404" s="194" t="n"/>
      <c r="B404" s="126" t="n"/>
      <c r="C404" s="194" t="n"/>
      <c r="D404" s="194" t="n"/>
      <c r="E404" s="194" t="n"/>
    </row>
    <row r="405" ht="15.75" customHeight="1" s="1">
      <c r="A405" s="194" t="n"/>
      <c r="B405" s="126" t="n"/>
      <c r="C405" s="194" t="n"/>
      <c r="D405" s="194" t="n"/>
      <c r="E405" s="194" t="n"/>
    </row>
    <row r="406" ht="15.75" customHeight="1" s="1">
      <c r="A406" s="194" t="n"/>
      <c r="B406" s="126" t="n"/>
      <c r="C406" s="194" t="n"/>
      <c r="D406" s="194" t="n"/>
      <c r="E406" s="194" t="n"/>
    </row>
    <row r="407" ht="15.75" customHeight="1" s="1">
      <c r="A407" s="194" t="n"/>
      <c r="B407" s="126" t="n"/>
      <c r="C407" s="194" t="n"/>
      <c r="D407" s="194" t="n"/>
      <c r="E407" s="194" t="n"/>
    </row>
    <row r="408" ht="15.75" customHeight="1" s="1">
      <c r="A408" s="194" t="n"/>
      <c r="B408" s="126" t="n"/>
      <c r="C408" s="194" t="n"/>
      <c r="D408" s="194" t="n"/>
      <c r="E408" s="194" t="n"/>
    </row>
    <row r="409" ht="15.75" customHeight="1" s="1">
      <c r="A409" s="194" t="n"/>
      <c r="B409" s="126" t="n"/>
      <c r="C409" s="194" t="n"/>
      <c r="D409" s="194" t="n"/>
      <c r="E409" s="194" t="n"/>
    </row>
    <row r="410" ht="15.75" customHeight="1" s="1">
      <c r="A410" s="194" t="n"/>
      <c r="B410" s="126" t="n"/>
      <c r="C410" s="194" t="n"/>
      <c r="D410" s="194" t="n"/>
      <c r="E410" s="194" t="n"/>
    </row>
    <row r="411" ht="15.75" customHeight="1" s="1">
      <c r="A411" s="194" t="n"/>
      <c r="B411" s="126" t="n"/>
      <c r="C411" s="194" t="n"/>
      <c r="D411" s="194" t="n"/>
      <c r="E411" s="194" t="n"/>
    </row>
    <row r="412" ht="15.75" customHeight="1" s="1">
      <c r="A412" s="194" t="n"/>
      <c r="B412" s="126" t="n"/>
      <c r="C412" s="194" t="n"/>
      <c r="D412" s="194" t="n"/>
      <c r="E412" s="194" t="n"/>
    </row>
    <row r="413" ht="15.75" customHeight="1" s="1">
      <c r="A413" s="194" t="n"/>
      <c r="B413" s="126" t="n"/>
      <c r="C413" s="194" t="n"/>
      <c r="D413" s="194" t="n"/>
      <c r="E413" s="194" t="n"/>
    </row>
    <row r="414" ht="15.75" customHeight="1" s="1">
      <c r="A414" s="194" t="n"/>
      <c r="B414" s="126" t="n"/>
      <c r="C414" s="194" t="n"/>
      <c r="D414" s="194" t="n"/>
      <c r="E414" s="194" t="n"/>
    </row>
    <row r="415" ht="15.75" customHeight="1" s="1">
      <c r="A415" s="194" t="n"/>
      <c r="B415" s="126" t="n"/>
      <c r="C415" s="194" t="n"/>
      <c r="D415" s="194" t="n"/>
      <c r="E415" s="194" t="n"/>
    </row>
    <row r="416" ht="15.75" customHeight="1" s="1">
      <c r="A416" s="194" t="n"/>
      <c r="B416" s="126" t="n"/>
      <c r="C416" s="194" t="n"/>
      <c r="D416" s="194" t="n"/>
      <c r="E416" s="194" t="n"/>
    </row>
    <row r="417" ht="15.75" customHeight="1" s="1">
      <c r="A417" s="194" t="n"/>
      <c r="B417" s="126" t="n"/>
      <c r="C417" s="194" t="n"/>
      <c r="D417" s="194" t="n"/>
      <c r="E417" s="194" t="n"/>
    </row>
    <row r="418" ht="15.75" customHeight="1" s="1">
      <c r="A418" s="194" t="n"/>
      <c r="B418" s="126" t="n"/>
      <c r="C418" s="194" t="n"/>
      <c r="D418" s="194" t="n"/>
      <c r="E418" s="194" t="n"/>
    </row>
    <row r="419" ht="15.75" customHeight="1" s="1">
      <c r="A419" s="194" t="n"/>
      <c r="B419" s="126" t="n"/>
      <c r="C419" s="194" t="n"/>
      <c r="D419" s="194" t="n"/>
      <c r="E419" s="194" t="n"/>
    </row>
    <row r="420" ht="15.75" customHeight="1" s="1">
      <c r="A420" s="194" t="n"/>
      <c r="B420" s="126" t="n"/>
      <c r="C420" s="194" t="n"/>
      <c r="D420" s="194" t="n"/>
      <c r="E420" s="194" t="n"/>
    </row>
    <row r="421" ht="15.75" customHeight="1" s="1">
      <c r="A421" s="194" t="n"/>
      <c r="B421" s="126" t="n"/>
      <c r="C421" s="194" t="n"/>
      <c r="D421" s="194" t="n"/>
      <c r="E421" s="194" t="n"/>
    </row>
    <row r="422" ht="15.75" customHeight="1" s="1">
      <c r="A422" s="194" t="n"/>
      <c r="B422" s="126" t="n"/>
      <c r="C422" s="194" t="n"/>
      <c r="D422" s="194" t="n"/>
      <c r="E422" s="194" t="n"/>
    </row>
    <row r="423" ht="15.75" customHeight="1" s="1">
      <c r="A423" s="194" t="n"/>
      <c r="B423" s="126" t="n"/>
      <c r="C423" s="194" t="n"/>
      <c r="D423" s="194" t="n"/>
      <c r="E423" s="194" t="n"/>
    </row>
    <row r="424" ht="15.75" customHeight="1" s="1">
      <c r="A424" s="194" t="n"/>
      <c r="B424" s="126" t="n"/>
      <c r="C424" s="194" t="n"/>
      <c r="D424" s="194" t="n"/>
      <c r="E424" s="194" t="n"/>
    </row>
    <row r="425" ht="15.75" customHeight="1" s="1">
      <c r="A425" s="194" t="n"/>
      <c r="B425" s="126" t="n"/>
      <c r="C425" s="194" t="n"/>
      <c r="D425" s="194" t="n"/>
      <c r="E425" s="194" t="n"/>
    </row>
    <row r="426" ht="15.75" customHeight="1" s="1">
      <c r="A426" s="194" t="n"/>
      <c r="B426" s="126" t="n"/>
      <c r="C426" s="194" t="n"/>
      <c r="D426" s="194" t="n"/>
      <c r="E426" s="194" t="n"/>
    </row>
    <row r="427" ht="15.75" customHeight="1" s="1">
      <c r="A427" s="194" t="n"/>
      <c r="B427" s="126" t="n"/>
      <c r="C427" s="194" t="n"/>
      <c r="D427" s="194" t="n"/>
      <c r="E427" s="194" t="n"/>
    </row>
    <row r="428" ht="15.75" customHeight="1" s="1">
      <c r="A428" s="194" t="n"/>
      <c r="B428" s="126" t="n"/>
      <c r="C428" s="194" t="n"/>
      <c r="D428" s="194" t="n"/>
      <c r="E428" s="194" t="n"/>
    </row>
    <row r="429" ht="15.75" customHeight="1" s="1">
      <c r="A429" s="194" t="n"/>
      <c r="B429" s="126" t="n"/>
      <c r="C429" s="194" t="n"/>
      <c r="D429" s="194" t="n"/>
      <c r="E429" s="194" t="n"/>
    </row>
    <row r="430" ht="15.75" customHeight="1" s="1">
      <c r="A430" s="194" t="n"/>
      <c r="B430" s="126" t="n"/>
      <c r="C430" s="194" t="n"/>
      <c r="D430" s="194" t="n"/>
      <c r="E430" s="194" t="n"/>
    </row>
    <row r="431" ht="15.75" customHeight="1" s="1">
      <c r="A431" s="194" t="n"/>
      <c r="B431" s="126" t="n"/>
      <c r="C431" s="194" t="n"/>
      <c r="D431" s="194" t="n"/>
      <c r="E431" s="194" t="n"/>
    </row>
    <row r="432" ht="15.75" customHeight="1" s="1">
      <c r="A432" s="194" t="n"/>
      <c r="B432" s="126" t="n"/>
      <c r="C432" s="194" t="n"/>
      <c r="D432" s="194" t="n"/>
      <c r="E432" s="194" t="n"/>
    </row>
    <row r="433" ht="15.75" customHeight="1" s="1">
      <c r="A433" s="194" t="n"/>
      <c r="B433" s="126" t="n"/>
      <c r="C433" s="194" t="n"/>
      <c r="D433" s="194" t="n"/>
      <c r="E433" s="194" t="n"/>
    </row>
    <row r="434" ht="15.75" customHeight="1" s="1">
      <c r="A434" s="194" t="n"/>
      <c r="B434" s="126" t="n"/>
      <c r="C434" s="194" t="n"/>
      <c r="D434" s="194" t="n"/>
      <c r="E434" s="194" t="n"/>
    </row>
    <row r="435" ht="15.75" customHeight="1" s="1">
      <c r="A435" s="194" t="n"/>
      <c r="B435" s="126" t="n"/>
      <c r="C435" s="194" t="n"/>
      <c r="D435" s="194" t="n"/>
      <c r="E435" s="194" t="n"/>
    </row>
    <row r="436" ht="15.75" customHeight="1" s="1">
      <c r="A436" s="194" t="n"/>
      <c r="B436" s="126" t="n"/>
      <c r="C436" s="194" t="n"/>
      <c r="D436" s="194" t="n"/>
      <c r="E436" s="194" t="n"/>
    </row>
    <row r="437" ht="15.75" customHeight="1" s="1">
      <c r="A437" s="194" t="n"/>
      <c r="B437" s="126" t="n"/>
      <c r="C437" s="194" t="n"/>
      <c r="D437" s="194" t="n"/>
      <c r="E437" s="194" t="n"/>
    </row>
    <row r="438" ht="15.75" customHeight="1" s="1">
      <c r="A438" s="194" t="n"/>
      <c r="B438" s="126" t="n"/>
      <c r="C438" s="194" t="n"/>
      <c r="D438" s="194" t="n"/>
      <c r="E438" s="194" t="n"/>
    </row>
    <row r="439" ht="15.75" customHeight="1" s="1">
      <c r="A439" s="194" t="n"/>
      <c r="B439" s="126" t="n"/>
      <c r="C439" s="194" t="n"/>
      <c r="D439" s="194" t="n"/>
      <c r="E439" s="194" t="n"/>
    </row>
    <row r="440" ht="15.75" customHeight="1" s="1">
      <c r="A440" s="194" t="n"/>
      <c r="B440" s="126" t="n"/>
      <c r="C440" s="194" t="n"/>
      <c r="D440" s="194" t="n"/>
      <c r="E440" s="194" t="n"/>
    </row>
    <row r="441" ht="15.75" customHeight="1" s="1">
      <c r="A441" s="194" t="n"/>
      <c r="B441" s="126" t="n"/>
      <c r="C441" s="194" t="n"/>
      <c r="D441" s="194" t="n"/>
      <c r="E441" s="194" t="n"/>
    </row>
    <row r="442" ht="15.75" customHeight="1" s="1">
      <c r="A442" s="194" t="n"/>
      <c r="B442" s="126" t="n"/>
      <c r="C442" s="194" t="n"/>
      <c r="D442" s="194" t="n"/>
      <c r="E442" s="194" t="n"/>
    </row>
    <row r="443" ht="15.75" customHeight="1" s="1">
      <c r="A443" s="194" t="n"/>
      <c r="B443" s="126" t="n"/>
      <c r="C443" s="194" t="n"/>
      <c r="D443" s="194" t="n"/>
      <c r="E443" s="194" t="n"/>
    </row>
    <row r="444" ht="15.75" customHeight="1" s="1">
      <c r="A444" s="194" t="n"/>
      <c r="B444" s="126" t="n"/>
      <c r="C444" s="194" t="n"/>
      <c r="D444" s="194" t="n"/>
      <c r="E444" s="194" t="n"/>
    </row>
    <row r="445" ht="15.75" customHeight="1" s="1">
      <c r="A445" s="194" t="n"/>
      <c r="B445" s="126" t="n"/>
      <c r="C445" s="194" t="n"/>
      <c r="D445" s="194" t="n"/>
      <c r="E445" s="194" t="n"/>
    </row>
    <row r="446" ht="15.75" customHeight="1" s="1">
      <c r="A446" s="194" t="n"/>
      <c r="B446" s="126" t="n"/>
      <c r="C446" s="194" t="n"/>
      <c r="D446" s="194" t="n"/>
      <c r="E446" s="194" t="n"/>
    </row>
    <row r="447" ht="15.75" customHeight="1" s="1">
      <c r="A447" s="194" t="n"/>
      <c r="B447" s="126" t="n"/>
      <c r="C447" s="194" t="n"/>
      <c r="D447" s="194" t="n"/>
      <c r="E447" s="194" t="n"/>
    </row>
    <row r="448" ht="15.75" customHeight="1" s="1">
      <c r="A448" s="194" t="n"/>
      <c r="B448" s="126" t="n"/>
      <c r="C448" s="194" t="n"/>
      <c r="D448" s="194" t="n"/>
      <c r="E448" s="194" t="n"/>
    </row>
    <row r="449" ht="15.75" customHeight="1" s="1">
      <c r="A449" s="194" t="n"/>
      <c r="B449" s="126" t="n"/>
      <c r="C449" s="194" t="n"/>
      <c r="D449" s="194" t="n"/>
      <c r="E449" s="194" t="n"/>
    </row>
    <row r="450" ht="15.75" customHeight="1" s="1">
      <c r="A450" s="194" t="n"/>
      <c r="B450" s="126" t="n"/>
      <c r="C450" s="194" t="n"/>
      <c r="D450" s="194" t="n"/>
      <c r="E450" s="194" t="n"/>
    </row>
    <row r="451" ht="15.75" customHeight="1" s="1">
      <c r="A451" s="194" t="n"/>
      <c r="B451" s="126" t="n"/>
      <c r="C451" s="194" t="n"/>
      <c r="D451" s="194" t="n"/>
      <c r="E451" s="194" t="n"/>
    </row>
    <row r="452" ht="15.75" customHeight="1" s="1">
      <c r="A452" s="194" t="n"/>
      <c r="B452" s="126" t="n"/>
      <c r="C452" s="194" t="n"/>
      <c r="D452" s="194" t="n"/>
      <c r="E452" s="194" t="n"/>
    </row>
    <row r="453" ht="15.75" customHeight="1" s="1">
      <c r="A453" s="194" t="n"/>
      <c r="B453" s="126" t="n"/>
      <c r="C453" s="194" t="n"/>
      <c r="D453" s="194" t="n"/>
      <c r="E453" s="194" t="n"/>
    </row>
    <row r="454" ht="15.75" customHeight="1" s="1">
      <c r="A454" s="194" t="n"/>
      <c r="B454" s="126" t="n"/>
      <c r="C454" s="194" t="n"/>
      <c r="D454" s="194" t="n"/>
      <c r="E454" s="194" t="n"/>
    </row>
    <row r="455" ht="15.75" customHeight="1" s="1">
      <c r="A455" s="194" t="n"/>
      <c r="B455" s="126" t="n"/>
      <c r="C455" s="194" t="n"/>
      <c r="D455" s="194" t="n"/>
      <c r="E455" s="194" t="n"/>
    </row>
    <row r="456" ht="15.75" customHeight="1" s="1">
      <c r="A456" s="194" t="n"/>
      <c r="B456" s="126" t="n"/>
      <c r="C456" s="194" t="n"/>
      <c r="D456" s="194" t="n"/>
      <c r="E456" s="194" t="n"/>
    </row>
    <row r="457" ht="15.75" customHeight="1" s="1">
      <c r="A457" s="194" t="n"/>
      <c r="B457" s="126" t="n"/>
      <c r="C457" s="194" t="n"/>
      <c r="D457" s="194" t="n"/>
      <c r="E457" s="194" t="n"/>
    </row>
    <row r="458" ht="15.75" customHeight="1" s="1">
      <c r="A458" s="194" t="n"/>
      <c r="B458" s="126" t="n"/>
      <c r="C458" s="194" t="n"/>
      <c r="D458" s="194" t="n"/>
      <c r="E458" s="194" t="n"/>
    </row>
    <row r="459" ht="15.75" customHeight="1" s="1">
      <c r="A459" s="194" t="n"/>
      <c r="B459" s="126" t="n"/>
      <c r="C459" s="194" t="n"/>
      <c r="D459" s="194" t="n"/>
      <c r="E459" s="194" t="n"/>
    </row>
    <row r="460" ht="15.75" customHeight="1" s="1">
      <c r="A460" s="194" t="n"/>
      <c r="B460" s="126" t="n"/>
      <c r="C460" s="194" t="n"/>
      <c r="D460" s="194" t="n"/>
      <c r="E460" s="194" t="n"/>
    </row>
    <row r="461" ht="15.75" customHeight="1" s="1">
      <c r="A461" s="194" t="n"/>
      <c r="B461" s="126" t="n"/>
      <c r="C461" s="194" t="n"/>
      <c r="D461" s="194" t="n"/>
      <c r="E461" s="194" t="n"/>
    </row>
    <row r="462" ht="15.75" customHeight="1" s="1">
      <c r="A462" s="194" t="n"/>
      <c r="B462" s="126" t="n"/>
      <c r="C462" s="194" t="n"/>
      <c r="D462" s="194" t="n"/>
      <c r="E462" s="194" t="n"/>
    </row>
    <row r="463" ht="15.75" customHeight="1" s="1">
      <c r="A463" s="194" t="n"/>
      <c r="B463" s="126" t="n"/>
      <c r="C463" s="194" t="n"/>
      <c r="D463" s="194" t="n"/>
      <c r="E463" s="194" t="n"/>
    </row>
    <row r="464" ht="15.75" customHeight="1" s="1">
      <c r="A464" s="194" t="n"/>
      <c r="B464" s="126" t="n"/>
      <c r="C464" s="194" t="n"/>
      <c r="D464" s="194" t="n"/>
      <c r="E464" s="194" t="n"/>
    </row>
    <row r="465" ht="15.75" customHeight="1" s="1">
      <c r="A465" s="194" t="n"/>
      <c r="B465" s="126" t="n"/>
      <c r="C465" s="194" t="n"/>
      <c r="D465" s="194" t="n"/>
      <c r="E465" s="194" t="n"/>
    </row>
    <row r="466" ht="15.75" customHeight="1" s="1">
      <c r="A466" s="194" t="n"/>
      <c r="B466" s="126" t="n"/>
      <c r="C466" s="194" t="n"/>
      <c r="D466" s="194" t="n"/>
      <c r="E466" s="194" t="n"/>
    </row>
    <row r="467" ht="15.75" customHeight="1" s="1">
      <c r="A467" s="194" t="n"/>
      <c r="B467" s="126" t="n"/>
      <c r="C467" s="194" t="n"/>
      <c r="D467" s="194" t="n"/>
      <c r="E467" s="194" t="n"/>
    </row>
    <row r="468" ht="15.75" customHeight="1" s="1">
      <c r="A468" s="194" t="n"/>
      <c r="B468" s="126" t="n"/>
      <c r="C468" s="194" t="n"/>
      <c r="D468" s="194" t="n"/>
      <c r="E468" s="194" t="n"/>
    </row>
    <row r="469" ht="15.75" customHeight="1" s="1">
      <c r="A469" s="194" t="n"/>
      <c r="B469" s="126" t="n"/>
      <c r="C469" s="194" t="n"/>
      <c r="D469" s="194" t="n"/>
      <c r="E469" s="194" t="n"/>
    </row>
    <row r="470" ht="15.75" customHeight="1" s="1">
      <c r="A470" s="194" t="n"/>
      <c r="B470" s="126" t="n"/>
      <c r="C470" s="194" t="n"/>
      <c r="D470" s="194" t="n"/>
      <c r="E470" s="194" t="n"/>
    </row>
    <row r="471" ht="15.75" customHeight="1" s="1">
      <c r="A471" s="194" t="n"/>
      <c r="B471" s="126" t="n"/>
      <c r="C471" s="194" t="n"/>
      <c r="D471" s="194" t="n"/>
      <c r="E471" s="194" t="n"/>
    </row>
    <row r="472" ht="15.75" customHeight="1" s="1">
      <c r="A472" s="194" t="n"/>
      <c r="B472" s="126" t="n"/>
      <c r="C472" s="194" t="n"/>
      <c r="D472" s="194" t="n"/>
      <c r="E472" s="194" t="n"/>
    </row>
    <row r="473" ht="15.75" customHeight="1" s="1">
      <c r="A473" s="194" t="n"/>
      <c r="B473" s="126" t="n"/>
      <c r="C473" s="194" t="n"/>
      <c r="D473" s="194" t="n"/>
      <c r="E473" s="194" t="n"/>
    </row>
    <row r="474" ht="15.75" customHeight="1" s="1">
      <c r="A474" s="194" t="n"/>
      <c r="B474" s="126" t="n"/>
      <c r="C474" s="194" t="n"/>
      <c r="D474" s="194" t="n"/>
      <c r="E474" s="194" t="n"/>
    </row>
    <row r="475" ht="15.75" customHeight="1" s="1">
      <c r="A475" s="194" t="n"/>
      <c r="B475" s="126" t="n"/>
      <c r="C475" s="194" t="n"/>
      <c r="D475" s="194" t="n"/>
      <c r="E475" s="194" t="n"/>
    </row>
    <row r="476" ht="15.75" customHeight="1" s="1">
      <c r="A476" s="194" t="n"/>
      <c r="B476" s="126" t="n"/>
      <c r="C476" s="194" t="n"/>
      <c r="D476" s="194" t="n"/>
      <c r="E476" s="194" t="n"/>
    </row>
    <row r="477" ht="15.75" customHeight="1" s="1">
      <c r="A477" s="194" t="n"/>
      <c r="B477" s="126" t="n"/>
      <c r="C477" s="194" t="n"/>
      <c r="D477" s="194" t="n"/>
      <c r="E477" s="194" t="n"/>
    </row>
    <row r="478" ht="15.75" customHeight="1" s="1">
      <c r="A478" s="194" t="n"/>
      <c r="B478" s="126" t="n"/>
      <c r="C478" s="194" t="n"/>
      <c r="D478" s="194" t="n"/>
      <c r="E478" s="194" t="n"/>
    </row>
    <row r="479" ht="15.75" customHeight="1" s="1">
      <c r="A479" s="194" t="n"/>
      <c r="B479" s="126" t="n"/>
      <c r="C479" s="194" t="n"/>
      <c r="D479" s="194" t="n"/>
      <c r="E479" s="194" t="n"/>
    </row>
    <row r="480" ht="15.75" customHeight="1" s="1">
      <c r="A480" s="194" t="n"/>
      <c r="B480" s="126" t="n"/>
      <c r="C480" s="194" t="n"/>
      <c r="D480" s="194" t="n"/>
      <c r="E480" s="194" t="n"/>
    </row>
    <row r="481" ht="15.75" customHeight="1" s="1">
      <c r="A481" s="194" t="n"/>
      <c r="B481" s="126" t="n"/>
      <c r="C481" s="194" t="n"/>
      <c r="D481" s="194" t="n"/>
      <c r="E481" s="194" t="n"/>
    </row>
    <row r="482" ht="15.75" customHeight="1" s="1">
      <c r="A482" s="194" t="n"/>
      <c r="B482" s="126" t="n"/>
      <c r="C482" s="194" t="n"/>
      <c r="D482" s="194" t="n"/>
      <c r="E482" s="194" t="n"/>
    </row>
    <row r="483" ht="15.75" customHeight="1" s="1">
      <c r="A483" s="194" t="n"/>
      <c r="B483" s="126" t="n"/>
      <c r="C483" s="194" t="n"/>
      <c r="D483" s="194" t="n"/>
      <c r="E483" s="194" t="n"/>
    </row>
    <row r="484" ht="15.75" customHeight="1" s="1">
      <c r="A484" s="194" t="n"/>
      <c r="B484" s="126" t="n"/>
      <c r="C484" s="194" t="n"/>
      <c r="D484" s="194" t="n"/>
      <c r="E484" s="194" t="n"/>
    </row>
    <row r="485" ht="15.75" customHeight="1" s="1">
      <c r="A485" s="194" t="n"/>
      <c r="B485" s="126" t="n"/>
      <c r="C485" s="194" t="n"/>
      <c r="D485" s="194" t="n"/>
      <c r="E485" s="194" t="n"/>
    </row>
    <row r="486" ht="15.75" customHeight="1" s="1">
      <c r="A486" s="194" t="n"/>
      <c r="B486" s="126" t="n"/>
      <c r="C486" s="194" t="n"/>
      <c r="D486" s="194" t="n"/>
      <c r="E486" s="194" t="n"/>
    </row>
    <row r="487" ht="15.75" customHeight="1" s="1">
      <c r="A487" s="194" t="n"/>
      <c r="B487" s="126" t="n"/>
      <c r="C487" s="194" t="n"/>
      <c r="D487" s="194" t="n"/>
      <c r="E487" s="194" t="n"/>
    </row>
    <row r="488" ht="15.75" customHeight="1" s="1">
      <c r="A488" s="194" t="n"/>
      <c r="B488" s="126" t="n"/>
      <c r="C488" s="194" t="n"/>
      <c r="D488" s="194" t="n"/>
      <c r="E488" s="194" t="n"/>
    </row>
    <row r="489" ht="15.75" customHeight="1" s="1">
      <c r="A489" s="194" t="n"/>
      <c r="B489" s="126" t="n"/>
      <c r="C489" s="194" t="n"/>
      <c r="D489" s="194" t="n"/>
      <c r="E489" s="194" t="n"/>
    </row>
    <row r="490" ht="15.75" customHeight="1" s="1">
      <c r="A490" s="194" t="n"/>
      <c r="B490" s="126" t="n"/>
      <c r="C490" s="194" t="n"/>
      <c r="D490" s="194" t="n"/>
      <c r="E490" s="194" t="n"/>
    </row>
    <row r="491" ht="15.75" customHeight="1" s="1">
      <c r="A491" s="194" t="n"/>
      <c r="B491" s="126" t="n"/>
      <c r="C491" s="194" t="n"/>
      <c r="D491" s="194" t="n"/>
      <c r="E491" s="194" t="n"/>
    </row>
    <row r="492" ht="15.75" customHeight="1" s="1">
      <c r="A492" s="194" t="n"/>
      <c r="B492" s="126" t="n"/>
      <c r="C492" s="194" t="n"/>
      <c r="D492" s="194" t="n"/>
      <c r="E492" s="194" t="n"/>
    </row>
    <row r="493" ht="15.75" customHeight="1" s="1">
      <c r="A493" s="194" t="n"/>
      <c r="B493" s="126" t="n"/>
      <c r="C493" s="194" t="n"/>
      <c r="D493" s="194" t="n"/>
      <c r="E493" s="194" t="n"/>
    </row>
    <row r="494" ht="15.75" customHeight="1" s="1">
      <c r="A494" s="194" t="n"/>
      <c r="B494" s="126" t="n"/>
      <c r="C494" s="194" t="n"/>
      <c r="D494" s="194" t="n"/>
      <c r="E494" s="194" t="n"/>
    </row>
    <row r="495" ht="15.75" customHeight="1" s="1">
      <c r="A495" s="194" t="n"/>
      <c r="B495" s="126" t="n"/>
      <c r="C495" s="194" t="n"/>
      <c r="D495" s="194" t="n"/>
      <c r="E495" s="194" t="n"/>
    </row>
    <row r="496" ht="15.75" customHeight="1" s="1">
      <c r="A496" s="194" t="n"/>
      <c r="B496" s="126" t="n"/>
      <c r="C496" s="194" t="n"/>
      <c r="D496" s="194" t="n"/>
      <c r="E496" s="194" t="n"/>
    </row>
    <row r="497" ht="15.75" customHeight="1" s="1">
      <c r="A497" s="194" t="n"/>
      <c r="B497" s="126" t="n"/>
      <c r="C497" s="194" t="n"/>
      <c r="D497" s="194" t="n"/>
      <c r="E497" s="194" t="n"/>
    </row>
    <row r="498" ht="15.75" customHeight="1" s="1">
      <c r="A498" s="194" t="n"/>
      <c r="B498" s="126" t="n"/>
      <c r="C498" s="194" t="n"/>
      <c r="D498" s="194" t="n"/>
      <c r="E498" s="194" t="n"/>
    </row>
    <row r="499" ht="15.75" customHeight="1" s="1">
      <c r="A499" s="194" t="n"/>
      <c r="B499" s="126" t="n"/>
      <c r="C499" s="194" t="n"/>
      <c r="D499" s="194" t="n"/>
      <c r="E499" s="194" t="n"/>
    </row>
    <row r="500" ht="15.75" customHeight="1" s="1">
      <c r="A500" s="194" t="n"/>
      <c r="B500" s="126" t="n"/>
      <c r="C500" s="194" t="n"/>
      <c r="D500" s="194" t="n"/>
      <c r="E500" s="194" t="n"/>
    </row>
    <row r="501" ht="15.75" customHeight="1" s="1">
      <c r="A501" s="194" t="n"/>
      <c r="B501" s="126" t="n"/>
      <c r="C501" s="194" t="n"/>
      <c r="D501" s="194" t="n"/>
      <c r="E501" s="194" t="n"/>
    </row>
    <row r="502" ht="15.75" customHeight="1" s="1">
      <c r="A502" s="194" t="n"/>
      <c r="B502" s="126" t="n"/>
      <c r="C502" s="194" t="n"/>
      <c r="D502" s="194" t="n"/>
      <c r="E502" s="194" t="n"/>
    </row>
    <row r="503" ht="15.75" customHeight="1" s="1">
      <c r="A503" s="194" t="n"/>
      <c r="B503" s="126" t="n"/>
      <c r="C503" s="194" t="n"/>
      <c r="D503" s="194" t="n"/>
      <c r="E503" s="194" t="n"/>
    </row>
    <row r="504" ht="15.75" customHeight="1" s="1">
      <c r="A504" s="194" t="n"/>
      <c r="B504" s="126" t="n"/>
      <c r="C504" s="194" t="n"/>
      <c r="D504" s="194" t="n"/>
      <c r="E504" s="194" t="n"/>
    </row>
    <row r="505" ht="15.75" customHeight="1" s="1">
      <c r="A505" s="194" t="n"/>
      <c r="B505" s="126" t="n"/>
      <c r="C505" s="194" t="n"/>
      <c r="D505" s="194" t="n"/>
      <c r="E505" s="194" t="n"/>
    </row>
    <row r="506" ht="15.75" customHeight="1" s="1">
      <c r="A506" s="194" t="n"/>
      <c r="B506" s="126" t="n"/>
      <c r="C506" s="194" t="n"/>
      <c r="D506" s="194" t="n"/>
      <c r="E506" s="194" t="n"/>
    </row>
    <row r="507" ht="15.75" customHeight="1" s="1">
      <c r="A507" s="194" t="n"/>
      <c r="B507" s="126" t="n"/>
      <c r="C507" s="194" t="n"/>
      <c r="D507" s="194" t="n"/>
      <c r="E507" s="194" t="n"/>
    </row>
    <row r="508" ht="15.75" customHeight="1" s="1">
      <c r="A508" s="194" t="n"/>
      <c r="B508" s="126" t="n"/>
      <c r="C508" s="194" t="n"/>
      <c r="D508" s="194" t="n"/>
      <c r="E508" s="194" t="n"/>
    </row>
    <row r="509" ht="15.75" customHeight="1" s="1">
      <c r="A509" s="194" t="n"/>
      <c r="B509" s="126" t="n"/>
      <c r="C509" s="194" t="n"/>
      <c r="D509" s="194" t="n"/>
      <c r="E509" s="194" t="n"/>
    </row>
    <row r="510" ht="15.75" customHeight="1" s="1">
      <c r="A510" s="194" t="n"/>
      <c r="B510" s="126" t="n"/>
      <c r="C510" s="194" t="n"/>
      <c r="D510" s="194" t="n"/>
      <c r="E510" s="194" t="n"/>
    </row>
    <row r="511" ht="15.75" customHeight="1" s="1">
      <c r="A511" s="194" t="n"/>
      <c r="B511" s="126" t="n"/>
      <c r="C511" s="194" t="n"/>
      <c r="D511" s="194" t="n"/>
      <c r="E511" s="194" t="n"/>
    </row>
    <row r="512" ht="15.75" customHeight="1" s="1">
      <c r="A512" s="194" t="n"/>
      <c r="B512" s="126" t="n"/>
      <c r="C512" s="194" t="n"/>
      <c r="D512" s="194" t="n"/>
      <c r="E512" s="194" t="n"/>
    </row>
    <row r="513" ht="15.75" customHeight="1" s="1">
      <c r="A513" s="194" t="n"/>
      <c r="B513" s="126" t="n"/>
      <c r="C513" s="194" t="n"/>
      <c r="D513" s="194" t="n"/>
      <c r="E513" s="194" t="n"/>
    </row>
    <row r="514" ht="15.75" customHeight="1" s="1">
      <c r="A514" s="194" t="n"/>
      <c r="B514" s="126" t="n"/>
      <c r="C514" s="194" t="n"/>
      <c r="D514" s="194" t="n"/>
      <c r="E514" s="194" t="n"/>
    </row>
    <row r="515" ht="15.75" customHeight="1" s="1">
      <c r="A515" s="194" t="n"/>
      <c r="B515" s="126" t="n"/>
      <c r="C515" s="194" t="n"/>
      <c r="D515" s="194" t="n"/>
      <c r="E515" s="194" t="n"/>
    </row>
    <row r="516" ht="15.75" customHeight="1" s="1">
      <c r="A516" s="194" t="n"/>
      <c r="B516" s="126" t="n"/>
      <c r="C516" s="194" t="n"/>
      <c r="D516" s="194" t="n"/>
      <c r="E516" s="194" t="n"/>
    </row>
    <row r="517" ht="15.75" customHeight="1" s="1">
      <c r="A517" s="194" t="n"/>
      <c r="B517" s="126" t="n"/>
      <c r="C517" s="194" t="n"/>
      <c r="D517" s="194" t="n"/>
      <c r="E517" s="194" t="n"/>
    </row>
    <row r="518" ht="15.75" customHeight="1" s="1">
      <c r="A518" s="194" t="n"/>
      <c r="B518" s="126" t="n"/>
      <c r="C518" s="194" t="n"/>
      <c r="D518" s="194" t="n"/>
      <c r="E518" s="194" t="n"/>
    </row>
    <row r="519" ht="15.75" customHeight="1" s="1">
      <c r="A519" s="194" t="n"/>
      <c r="B519" s="126" t="n"/>
      <c r="C519" s="194" t="n"/>
      <c r="D519" s="194" t="n"/>
      <c r="E519" s="194" t="n"/>
    </row>
    <row r="520" ht="15.75" customHeight="1" s="1">
      <c r="A520" s="194" t="n"/>
      <c r="B520" s="126" t="n"/>
      <c r="C520" s="194" t="n"/>
      <c r="D520" s="194" t="n"/>
      <c r="E520" s="194" t="n"/>
    </row>
    <row r="521" ht="15.75" customHeight="1" s="1">
      <c r="A521" s="194" t="n"/>
      <c r="B521" s="126" t="n"/>
      <c r="C521" s="194" t="n"/>
      <c r="D521" s="194" t="n"/>
      <c r="E521" s="194" t="n"/>
    </row>
    <row r="522" ht="15.75" customHeight="1" s="1">
      <c r="A522" s="194" t="n"/>
      <c r="B522" s="126" t="n"/>
      <c r="C522" s="194" t="n"/>
      <c r="D522" s="194" t="n"/>
      <c r="E522" s="194" t="n"/>
    </row>
    <row r="523" ht="15.75" customHeight="1" s="1">
      <c r="A523" s="194" t="n"/>
      <c r="B523" s="126" t="n"/>
      <c r="C523" s="194" t="n"/>
      <c r="D523" s="194" t="n"/>
      <c r="E523" s="194" t="n"/>
    </row>
    <row r="524" ht="15.75" customHeight="1" s="1">
      <c r="A524" s="194" t="n"/>
      <c r="B524" s="126" t="n"/>
      <c r="C524" s="194" t="n"/>
      <c r="D524" s="194" t="n"/>
      <c r="E524" s="194" t="n"/>
    </row>
    <row r="525" ht="15.75" customHeight="1" s="1">
      <c r="A525" s="194" t="n"/>
      <c r="B525" s="126" t="n"/>
      <c r="C525" s="194" t="n"/>
      <c r="D525" s="194" t="n"/>
      <c r="E525" s="194" t="n"/>
    </row>
    <row r="526" ht="15.75" customHeight="1" s="1">
      <c r="A526" s="194" t="n"/>
      <c r="B526" s="126" t="n"/>
      <c r="C526" s="194" t="n"/>
      <c r="D526" s="194" t="n"/>
      <c r="E526" s="194" t="n"/>
    </row>
    <row r="527" ht="15.75" customHeight="1" s="1">
      <c r="A527" s="194" t="n"/>
      <c r="B527" s="126" t="n"/>
      <c r="C527" s="194" t="n"/>
      <c r="D527" s="194" t="n"/>
      <c r="E527" s="194" t="n"/>
    </row>
    <row r="528" ht="15.75" customHeight="1" s="1">
      <c r="A528" s="194" t="n"/>
      <c r="B528" s="126" t="n"/>
      <c r="C528" s="194" t="n"/>
      <c r="D528" s="194" t="n"/>
      <c r="E528" s="194" t="n"/>
    </row>
    <row r="529" ht="15.75" customHeight="1" s="1">
      <c r="A529" s="194" t="n"/>
      <c r="B529" s="126" t="n"/>
      <c r="C529" s="194" t="n"/>
      <c r="D529" s="194" t="n"/>
      <c r="E529" s="194" t="n"/>
    </row>
    <row r="530" ht="15.75" customHeight="1" s="1">
      <c r="A530" s="194" t="n"/>
      <c r="B530" s="126" t="n"/>
      <c r="C530" s="194" t="n"/>
      <c r="D530" s="194" t="n"/>
      <c r="E530" s="194" t="n"/>
    </row>
    <row r="531" ht="15.75" customHeight="1" s="1">
      <c r="A531" s="194" t="n"/>
      <c r="B531" s="126" t="n"/>
      <c r="C531" s="194" t="n"/>
      <c r="D531" s="194" t="n"/>
      <c r="E531" s="194" t="n"/>
    </row>
    <row r="532" ht="15.75" customHeight="1" s="1">
      <c r="A532" s="194" t="n"/>
      <c r="B532" s="126" t="n"/>
      <c r="C532" s="194" t="n"/>
      <c r="D532" s="194" t="n"/>
      <c r="E532" s="194" t="n"/>
    </row>
    <row r="533" ht="15.75" customHeight="1" s="1">
      <c r="A533" s="194" t="n"/>
      <c r="B533" s="126" t="n"/>
      <c r="C533" s="194" t="n"/>
      <c r="D533" s="194" t="n"/>
      <c r="E533" s="194" t="n"/>
    </row>
    <row r="534" ht="15.75" customHeight="1" s="1">
      <c r="A534" s="194" t="n"/>
      <c r="B534" s="126" t="n"/>
      <c r="C534" s="194" t="n"/>
      <c r="D534" s="194" t="n"/>
      <c r="E534" s="194" t="n"/>
    </row>
    <row r="535" ht="15.75" customHeight="1" s="1">
      <c r="A535" s="194" t="n"/>
      <c r="B535" s="126" t="n"/>
      <c r="C535" s="194" t="n"/>
      <c r="D535" s="194" t="n"/>
      <c r="E535" s="194" t="n"/>
    </row>
    <row r="536" ht="15.75" customHeight="1" s="1">
      <c r="A536" s="194" t="n"/>
      <c r="B536" s="126" t="n"/>
      <c r="C536" s="194" t="n"/>
      <c r="D536" s="194" t="n"/>
      <c r="E536" s="194" t="n"/>
    </row>
    <row r="537" ht="15.75" customHeight="1" s="1">
      <c r="A537" s="194" t="n"/>
      <c r="B537" s="126" t="n"/>
      <c r="C537" s="194" t="n"/>
      <c r="D537" s="194" t="n"/>
      <c r="E537" s="194" t="n"/>
    </row>
    <row r="538" ht="15.75" customHeight="1" s="1">
      <c r="A538" s="194" t="n"/>
      <c r="B538" s="126" t="n"/>
      <c r="C538" s="194" t="n"/>
      <c r="D538" s="194" t="n"/>
      <c r="E538" s="194" t="n"/>
    </row>
    <row r="539" ht="15.75" customHeight="1" s="1">
      <c r="A539" s="194" t="n"/>
      <c r="B539" s="126" t="n"/>
      <c r="C539" s="194" t="n"/>
      <c r="D539" s="194" t="n"/>
      <c r="E539" s="194" t="n"/>
    </row>
    <row r="540" ht="15.75" customHeight="1" s="1">
      <c r="A540" s="194" t="n"/>
      <c r="B540" s="126" t="n"/>
      <c r="C540" s="194" t="n"/>
      <c r="D540" s="194" t="n"/>
      <c r="E540" s="194" t="n"/>
    </row>
    <row r="541" ht="15.75" customHeight="1" s="1">
      <c r="A541" s="194" t="n"/>
      <c r="B541" s="126" t="n"/>
      <c r="C541" s="194" t="n"/>
      <c r="D541" s="194" t="n"/>
      <c r="E541" s="194" t="n"/>
    </row>
    <row r="542" ht="15.75" customHeight="1" s="1">
      <c r="A542" s="194" t="n"/>
      <c r="B542" s="126" t="n"/>
      <c r="C542" s="194" t="n"/>
      <c r="D542" s="194" t="n"/>
      <c r="E542" s="194" t="n"/>
    </row>
    <row r="543" ht="15.75" customHeight="1" s="1">
      <c r="A543" s="194" t="n"/>
      <c r="B543" s="126" t="n"/>
      <c r="C543" s="194" t="n"/>
      <c r="D543" s="194" t="n"/>
      <c r="E543" s="194" t="n"/>
    </row>
    <row r="544" ht="15.75" customHeight="1" s="1">
      <c r="A544" s="194" t="n"/>
      <c r="B544" s="126" t="n"/>
      <c r="C544" s="194" t="n"/>
      <c r="D544" s="194" t="n"/>
      <c r="E544" s="194" t="n"/>
    </row>
    <row r="545" ht="15.75" customHeight="1" s="1">
      <c r="A545" s="194" t="n"/>
      <c r="B545" s="126" t="n"/>
      <c r="C545" s="194" t="n"/>
      <c r="D545" s="194" t="n"/>
      <c r="E545" s="194" t="n"/>
    </row>
    <row r="546" ht="15.75" customHeight="1" s="1">
      <c r="A546" s="194" t="n"/>
      <c r="B546" s="126" t="n"/>
      <c r="C546" s="194" t="n"/>
      <c r="D546" s="194" t="n"/>
      <c r="E546" s="194" t="n"/>
    </row>
    <row r="547" ht="15.75" customHeight="1" s="1">
      <c r="A547" s="194" t="n"/>
      <c r="B547" s="126" t="n"/>
      <c r="C547" s="194" t="n"/>
      <c r="D547" s="194" t="n"/>
      <c r="E547" s="194" t="n"/>
    </row>
    <row r="548" ht="15.75" customHeight="1" s="1">
      <c r="A548" s="194" t="n"/>
      <c r="B548" s="126" t="n"/>
      <c r="C548" s="194" t="n"/>
      <c r="D548" s="194" t="n"/>
      <c r="E548" s="194" t="n"/>
    </row>
    <row r="549" ht="15.75" customHeight="1" s="1">
      <c r="A549" s="194" t="n"/>
      <c r="B549" s="126" t="n"/>
      <c r="C549" s="194" t="n"/>
      <c r="D549" s="194" t="n"/>
      <c r="E549" s="194" t="n"/>
    </row>
    <row r="550" ht="15.75" customHeight="1" s="1">
      <c r="A550" s="194" t="n"/>
      <c r="B550" s="126" t="n"/>
      <c r="C550" s="194" t="n"/>
      <c r="D550" s="194" t="n"/>
      <c r="E550" s="194" t="n"/>
    </row>
    <row r="551" ht="15.75" customHeight="1" s="1">
      <c r="A551" s="194" t="n"/>
      <c r="B551" s="126" t="n"/>
      <c r="C551" s="194" t="n"/>
      <c r="D551" s="194" t="n"/>
      <c r="E551" s="194" t="n"/>
    </row>
    <row r="552" ht="15.75" customHeight="1" s="1">
      <c r="A552" s="194" t="n"/>
      <c r="B552" s="126" t="n"/>
      <c r="C552" s="194" t="n"/>
      <c r="D552" s="194" t="n"/>
      <c r="E552" s="194" t="n"/>
    </row>
    <row r="553" ht="15.75" customHeight="1" s="1">
      <c r="A553" s="194" t="n"/>
      <c r="B553" s="126" t="n"/>
      <c r="C553" s="194" t="n"/>
      <c r="D553" s="194" t="n"/>
      <c r="E553" s="194" t="n"/>
    </row>
    <row r="554" ht="15.75" customHeight="1" s="1">
      <c r="A554" s="194" t="n"/>
      <c r="B554" s="126" t="n"/>
      <c r="C554" s="194" t="n"/>
      <c r="D554" s="194" t="n"/>
      <c r="E554" s="194" t="n"/>
    </row>
    <row r="555" ht="15.75" customHeight="1" s="1">
      <c r="A555" s="194" t="n"/>
      <c r="B555" s="126" t="n"/>
      <c r="C555" s="194" t="n"/>
      <c r="D555" s="194" t="n"/>
      <c r="E555" s="194" t="n"/>
    </row>
    <row r="556" ht="15.75" customHeight="1" s="1">
      <c r="A556" s="194" t="n"/>
      <c r="B556" s="126" t="n"/>
      <c r="C556" s="194" t="n"/>
      <c r="D556" s="194" t="n"/>
      <c r="E556" s="194" t="n"/>
    </row>
    <row r="557" ht="15.75" customHeight="1" s="1">
      <c r="A557" s="194" t="n"/>
      <c r="B557" s="126" t="n"/>
      <c r="C557" s="194" t="n"/>
      <c r="D557" s="194" t="n"/>
      <c r="E557" s="194" t="n"/>
    </row>
    <row r="558" ht="15.75" customHeight="1" s="1">
      <c r="A558" s="194" t="n"/>
      <c r="B558" s="126" t="n"/>
      <c r="C558" s="194" t="n"/>
      <c r="D558" s="194" t="n"/>
      <c r="E558" s="194" t="n"/>
    </row>
    <row r="559" ht="15.75" customHeight="1" s="1">
      <c r="A559" s="194" t="n"/>
      <c r="B559" s="126" t="n"/>
      <c r="C559" s="194" t="n"/>
      <c r="D559" s="194" t="n"/>
      <c r="E559" s="194" t="n"/>
    </row>
    <row r="560" ht="15.75" customHeight="1" s="1">
      <c r="A560" s="194" t="n"/>
      <c r="B560" s="126" t="n"/>
      <c r="C560" s="194" t="n"/>
      <c r="D560" s="194" t="n"/>
      <c r="E560" s="194" t="n"/>
    </row>
    <row r="561" ht="15.75" customHeight="1" s="1">
      <c r="A561" s="194" t="n"/>
      <c r="B561" s="126" t="n"/>
      <c r="C561" s="194" t="n"/>
      <c r="D561" s="194" t="n"/>
      <c r="E561" s="194" t="n"/>
    </row>
    <row r="562" ht="15.75" customHeight="1" s="1">
      <c r="A562" s="194" t="n"/>
      <c r="B562" s="126" t="n"/>
      <c r="C562" s="194" t="n"/>
      <c r="D562" s="194" t="n"/>
      <c r="E562" s="194" t="n"/>
    </row>
    <row r="563" ht="15.75" customHeight="1" s="1">
      <c r="A563" s="194" t="n"/>
      <c r="B563" s="126" t="n"/>
      <c r="C563" s="194" t="n"/>
      <c r="D563" s="194" t="n"/>
      <c r="E563" s="194" t="n"/>
    </row>
    <row r="564" ht="15.75" customHeight="1" s="1">
      <c r="A564" s="194" t="n"/>
      <c r="B564" s="126" t="n"/>
      <c r="C564" s="194" t="n"/>
      <c r="D564" s="194" t="n"/>
      <c r="E564" s="194" t="n"/>
    </row>
    <row r="565" ht="15.75" customHeight="1" s="1">
      <c r="A565" s="194" t="n"/>
      <c r="B565" s="126" t="n"/>
      <c r="C565" s="194" t="n"/>
      <c r="D565" s="194" t="n"/>
      <c r="E565" s="194" t="n"/>
    </row>
    <row r="566" ht="15.75" customHeight="1" s="1">
      <c r="A566" s="194" t="n"/>
      <c r="B566" s="126" t="n"/>
      <c r="C566" s="194" t="n"/>
      <c r="D566" s="194" t="n"/>
      <c r="E566" s="194" t="n"/>
    </row>
    <row r="567" ht="15.75" customHeight="1" s="1">
      <c r="A567" s="194" t="n"/>
      <c r="B567" s="126" t="n"/>
      <c r="C567" s="194" t="n"/>
      <c r="D567" s="194" t="n"/>
      <c r="E567" s="194" t="n"/>
    </row>
    <row r="568" ht="15.75" customHeight="1" s="1">
      <c r="A568" s="194" t="n"/>
      <c r="B568" s="126" t="n"/>
      <c r="C568" s="194" t="n"/>
      <c r="D568" s="194" t="n"/>
      <c r="E568" s="194" t="n"/>
    </row>
    <row r="569" ht="15.75" customHeight="1" s="1">
      <c r="A569" s="194" t="n"/>
      <c r="B569" s="126" t="n"/>
      <c r="C569" s="194" t="n"/>
      <c r="D569" s="194" t="n"/>
      <c r="E569" s="194" t="n"/>
    </row>
    <row r="570" ht="15.75" customHeight="1" s="1">
      <c r="A570" s="194" t="n"/>
      <c r="B570" s="126" t="n"/>
      <c r="C570" s="194" t="n"/>
      <c r="D570" s="194" t="n"/>
      <c r="E570" s="194" t="n"/>
    </row>
    <row r="571" ht="15.75" customHeight="1" s="1">
      <c r="A571" s="194" t="n"/>
      <c r="B571" s="126" t="n"/>
      <c r="C571" s="194" t="n"/>
      <c r="D571" s="194" t="n"/>
      <c r="E571" s="194" t="n"/>
    </row>
    <row r="572" ht="15.75" customHeight="1" s="1">
      <c r="A572" s="194" t="n"/>
      <c r="B572" s="126" t="n"/>
      <c r="C572" s="194" t="n"/>
      <c r="D572" s="194" t="n"/>
      <c r="E572" s="194" t="n"/>
    </row>
    <row r="573" ht="15.75" customHeight="1" s="1">
      <c r="A573" s="194" t="n"/>
      <c r="B573" s="126" t="n"/>
      <c r="C573" s="194" t="n"/>
      <c r="D573" s="194" t="n"/>
      <c r="E573" s="194" t="n"/>
    </row>
    <row r="574" ht="15.75" customHeight="1" s="1">
      <c r="A574" s="194" t="n"/>
      <c r="B574" s="126" t="n"/>
      <c r="C574" s="194" t="n"/>
      <c r="D574" s="194" t="n"/>
      <c r="E574" s="194" t="n"/>
    </row>
    <row r="575" ht="15.75" customHeight="1" s="1">
      <c r="A575" s="194" t="n"/>
      <c r="B575" s="126" t="n"/>
      <c r="C575" s="194" t="n"/>
      <c r="D575" s="194" t="n"/>
      <c r="E575" s="194" t="n"/>
    </row>
    <row r="576" ht="15.75" customHeight="1" s="1">
      <c r="A576" s="194" t="n"/>
      <c r="B576" s="126" t="n"/>
      <c r="C576" s="194" t="n"/>
      <c r="D576" s="194" t="n"/>
      <c r="E576" s="194" t="n"/>
    </row>
    <row r="577" ht="15.75" customHeight="1" s="1">
      <c r="A577" s="194" t="n"/>
      <c r="B577" s="126" t="n"/>
      <c r="C577" s="194" t="n"/>
      <c r="D577" s="194" t="n"/>
      <c r="E577" s="194" t="n"/>
    </row>
    <row r="578" ht="15.75" customHeight="1" s="1">
      <c r="A578" s="194" t="n"/>
      <c r="B578" s="126" t="n"/>
      <c r="C578" s="194" t="n"/>
      <c r="D578" s="194" t="n"/>
      <c r="E578" s="194" t="n"/>
    </row>
    <row r="579" ht="15.75" customHeight="1" s="1">
      <c r="A579" s="194" t="n"/>
      <c r="B579" s="126" t="n"/>
      <c r="C579" s="194" t="n"/>
      <c r="D579" s="194" t="n"/>
      <c r="E579" s="194" t="n"/>
    </row>
    <row r="580" ht="15.75" customHeight="1" s="1">
      <c r="A580" s="194" t="n"/>
      <c r="B580" s="126" t="n"/>
      <c r="C580" s="194" t="n"/>
      <c r="D580" s="194" t="n"/>
      <c r="E580" s="194" t="n"/>
    </row>
    <row r="581" ht="15.75" customHeight="1" s="1">
      <c r="A581" s="194" t="n"/>
      <c r="B581" s="126" t="n"/>
      <c r="C581" s="194" t="n"/>
      <c r="D581" s="194" t="n"/>
      <c r="E581" s="194" t="n"/>
    </row>
    <row r="582" ht="15.75" customHeight="1" s="1">
      <c r="A582" s="194" t="n"/>
      <c r="B582" s="126" t="n"/>
      <c r="C582" s="194" t="n"/>
      <c r="D582" s="194" t="n"/>
      <c r="E582" s="194" t="n"/>
    </row>
    <row r="583" ht="15.75" customHeight="1" s="1">
      <c r="A583" s="194" t="n"/>
      <c r="B583" s="126" t="n"/>
      <c r="C583" s="194" t="n"/>
      <c r="D583" s="194" t="n"/>
      <c r="E583" s="194" t="n"/>
    </row>
    <row r="584" ht="15.75" customHeight="1" s="1">
      <c r="A584" s="194" t="n"/>
      <c r="B584" s="126" t="n"/>
      <c r="C584" s="194" t="n"/>
      <c r="D584" s="194" t="n"/>
      <c r="E584" s="194" t="n"/>
    </row>
    <row r="585" ht="15.75" customHeight="1" s="1">
      <c r="A585" s="194" t="n"/>
      <c r="B585" s="126" t="n"/>
      <c r="C585" s="194" t="n"/>
      <c r="D585" s="194" t="n"/>
      <c r="E585" s="194" t="n"/>
    </row>
    <row r="586" ht="15.75" customHeight="1" s="1">
      <c r="A586" s="194" t="n"/>
      <c r="B586" s="126" t="n"/>
      <c r="C586" s="194" t="n"/>
      <c r="D586" s="194" t="n"/>
      <c r="E586" s="194" t="n"/>
    </row>
    <row r="587" ht="15.75" customHeight="1" s="1">
      <c r="A587" s="194" t="n"/>
      <c r="B587" s="126" t="n"/>
      <c r="C587" s="194" t="n"/>
      <c r="D587" s="194" t="n"/>
      <c r="E587" s="194" t="n"/>
    </row>
    <row r="588" ht="15.75" customHeight="1" s="1">
      <c r="A588" s="194" t="n"/>
      <c r="B588" s="126" t="n"/>
      <c r="C588" s="194" t="n"/>
      <c r="D588" s="194" t="n"/>
      <c r="E588" s="194" t="n"/>
    </row>
    <row r="589" ht="15.75" customHeight="1" s="1">
      <c r="A589" s="194" t="n"/>
      <c r="B589" s="126" t="n"/>
      <c r="C589" s="194" t="n"/>
      <c r="D589" s="194" t="n"/>
      <c r="E589" s="194" t="n"/>
    </row>
    <row r="590" ht="15.75" customHeight="1" s="1">
      <c r="A590" s="194" t="n"/>
      <c r="B590" s="126" t="n"/>
      <c r="C590" s="194" t="n"/>
      <c r="D590" s="194" t="n"/>
      <c r="E590" s="194" t="n"/>
    </row>
    <row r="591" ht="15.75" customHeight="1" s="1">
      <c r="A591" s="194" t="n"/>
      <c r="B591" s="126" t="n"/>
      <c r="C591" s="194" t="n"/>
      <c r="D591" s="194" t="n"/>
      <c r="E591" s="194" t="n"/>
    </row>
    <row r="592" ht="15.75" customHeight="1" s="1">
      <c r="A592" s="194" t="n"/>
      <c r="B592" s="126" t="n"/>
      <c r="C592" s="194" t="n"/>
      <c r="D592" s="194" t="n"/>
      <c r="E592" s="194" t="n"/>
    </row>
    <row r="593" ht="15.75" customHeight="1" s="1">
      <c r="A593" s="194" t="n"/>
      <c r="B593" s="126" t="n"/>
      <c r="C593" s="194" t="n"/>
      <c r="D593" s="194" t="n"/>
      <c r="E593" s="194" t="n"/>
    </row>
    <row r="594" ht="15.75" customHeight="1" s="1">
      <c r="A594" s="194" t="n"/>
      <c r="B594" s="126" t="n"/>
      <c r="C594" s="194" t="n"/>
      <c r="D594" s="194" t="n"/>
      <c r="E594" s="194" t="n"/>
    </row>
    <row r="595" ht="15.75" customHeight="1" s="1">
      <c r="A595" s="194" t="n"/>
      <c r="B595" s="126" t="n"/>
      <c r="C595" s="194" t="n"/>
      <c r="D595" s="194" t="n"/>
      <c r="E595" s="194" t="n"/>
    </row>
    <row r="596" ht="15.75" customHeight="1" s="1">
      <c r="A596" s="194" t="n"/>
      <c r="B596" s="126" t="n"/>
      <c r="C596" s="194" t="n"/>
      <c r="D596" s="194" t="n"/>
      <c r="E596" s="194" t="n"/>
    </row>
    <row r="597" ht="15.75" customHeight="1" s="1">
      <c r="A597" s="194" t="n"/>
      <c r="B597" s="126" t="n"/>
      <c r="C597" s="194" t="n"/>
      <c r="D597" s="194" t="n"/>
      <c r="E597" s="194" t="n"/>
    </row>
    <row r="598" ht="15.75" customHeight="1" s="1">
      <c r="A598" s="194" t="n"/>
      <c r="B598" s="126" t="n"/>
      <c r="C598" s="194" t="n"/>
      <c r="D598" s="194" t="n"/>
      <c r="E598" s="194" t="n"/>
    </row>
    <row r="599" ht="15.75" customHeight="1" s="1">
      <c r="A599" s="194" t="n"/>
      <c r="B599" s="126" t="n"/>
      <c r="C599" s="194" t="n"/>
      <c r="D599" s="194" t="n"/>
      <c r="E599" s="194" t="n"/>
    </row>
    <row r="600" ht="15.75" customHeight="1" s="1">
      <c r="A600" s="194" t="n"/>
      <c r="B600" s="126" t="n"/>
      <c r="C600" s="194" t="n"/>
      <c r="D600" s="194" t="n"/>
      <c r="E600" s="194" t="n"/>
    </row>
    <row r="601" ht="15.75" customHeight="1" s="1">
      <c r="A601" s="194" t="n"/>
      <c r="B601" s="126" t="n"/>
      <c r="C601" s="194" t="n"/>
      <c r="D601" s="194" t="n"/>
      <c r="E601" s="194" t="n"/>
    </row>
    <row r="602" ht="15.75" customHeight="1" s="1">
      <c r="A602" s="194" t="n"/>
      <c r="B602" s="126" t="n"/>
      <c r="C602" s="194" t="n"/>
      <c r="D602" s="194" t="n"/>
      <c r="E602" s="194" t="n"/>
    </row>
    <row r="603" ht="15.75" customHeight="1" s="1">
      <c r="A603" s="194" t="n"/>
      <c r="B603" s="126" t="n"/>
      <c r="C603" s="194" t="n"/>
      <c r="D603" s="194" t="n"/>
      <c r="E603" s="194" t="n"/>
    </row>
    <row r="604" ht="15.75" customHeight="1" s="1">
      <c r="A604" s="194" t="n"/>
      <c r="B604" s="126" t="n"/>
      <c r="C604" s="194" t="n"/>
      <c r="D604" s="194" t="n"/>
      <c r="E604" s="194" t="n"/>
    </row>
    <row r="605" ht="15.75" customHeight="1" s="1">
      <c r="A605" s="194" t="n"/>
      <c r="B605" s="126" t="n"/>
      <c r="C605" s="194" t="n"/>
      <c r="D605" s="194" t="n"/>
      <c r="E605" s="194" t="n"/>
    </row>
    <row r="606" ht="15.75" customHeight="1" s="1">
      <c r="A606" s="194" t="n"/>
      <c r="B606" s="126" t="n"/>
      <c r="C606" s="194" t="n"/>
      <c r="D606" s="194" t="n"/>
      <c r="E606" s="194" t="n"/>
    </row>
    <row r="607" ht="15.75" customHeight="1" s="1">
      <c r="A607" s="194" t="n"/>
      <c r="B607" s="126" t="n"/>
      <c r="C607" s="194" t="n"/>
      <c r="D607" s="194" t="n"/>
      <c r="E607" s="194" t="n"/>
    </row>
    <row r="608" ht="15.75" customHeight="1" s="1">
      <c r="A608" s="194" t="n"/>
      <c r="B608" s="126" t="n"/>
      <c r="C608" s="194" t="n"/>
      <c r="D608" s="194" t="n"/>
      <c r="E608" s="194" t="n"/>
    </row>
    <row r="609" ht="15.75" customHeight="1" s="1">
      <c r="A609" s="194" t="n"/>
      <c r="B609" s="126" t="n"/>
      <c r="C609" s="194" t="n"/>
      <c r="D609" s="194" t="n"/>
      <c r="E609" s="194" t="n"/>
    </row>
    <row r="610" ht="15.75" customHeight="1" s="1">
      <c r="A610" s="194" t="n"/>
      <c r="B610" s="126" t="n"/>
      <c r="C610" s="194" t="n"/>
      <c r="D610" s="194" t="n"/>
      <c r="E610" s="194" t="n"/>
    </row>
    <row r="611" ht="15.75" customHeight="1" s="1">
      <c r="A611" s="194" t="n"/>
      <c r="B611" s="126" t="n"/>
      <c r="C611" s="194" t="n"/>
      <c r="D611" s="194" t="n"/>
      <c r="E611" s="194" t="n"/>
    </row>
    <row r="612" ht="15.75" customHeight="1" s="1">
      <c r="A612" s="194" t="n"/>
      <c r="B612" s="126" t="n"/>
      <c r="C612" s="194" t="n"/>
      <c r="D612" s="194" t="n"/>
      <c r="E612" s="194" t="n"/>
    </row>
    <row r="613" ht="15.75" customHeight="1" s="1">
      <c r="A613" s="194" t="n"/>
      <c r="B613" s="126" t="n"/>
      <c r="C613" s="194" t="n"/>
      <c r="D613" s="194" t="n"/>
      <c r="E613" s="194" t="n"/>
    </row>
    <row r="614" ht="15.75" customHeight="1" s="1">
      <c r="A614" s="194" t="n"/>
      <c r="B614" s="126" t="n"/>
      <c r="C614" s="194" t="n"/>
      <c r="D614" s="194" t="n"/>
      <c r="E614" s="194" t="n"/>
    </row>
    <row r="615" ht="15.75" customHeight="1" s="1">
      <c r="A615" s="194" t="n"/>
      <c r="B615" s="126" t="n"/>
      <c r="C615" s="194" t="n"/>
      <c r="D615" s="194" t="n"/>
      <c r="E615" s="194" t="n"/>
    </row>
    <row r="616" ht="15.75" customHeight="1" s="1">
      <c r="A616" s="194" t="n"/>
      <c r="B616" s="126" t="n"/>
      <c r="C616" s="194" t="n"/>
      <c r="D616" s="194" t="n"/>
      <c r="E616" s="194" t="n"/>
    </row>
    <row r="617" ht="15.75" customHeight="1" s="1">
      <c r="A617" s="194" t="n"/>
      <c r="B617" s="126" t="n"/>
      <c r="C617" s="194" t="n"/>
      <c r="D617" s="194" t="n"/>
      <c r="E617" s="194" t="n"/>
    </row>
    <row r="618" ht="15.75" customHeight="1" s="1">
      <c r="A618" s="194" t="n"/>
      <c r="B618" s="126" t="n"/>
      <c r="C618" s="194" t="n"/>
      <c r="D618" s="194" t="n"/>
      <c r="E618" s="194" t="n"/>
    </row>
    <row r="619" ht="15.75" customHeight="1" s="1">
      <c r="A619" s="194" t="n"/>
      <c r="B619" s="126" t="n"/>
      <c r="C619" s="194" t="n"/>
      <c r="D619" s="194" t="n"/>
      <c r="E619" s="194" t="n"/>
    </row>
    <row r="620" ht="15.75" customHeight="1" s="1">
      <c r="A620" s="194" t="n"/>
      <c r="B620" s="126" t="n"/>
      <c r="C620" s="194" t="n"/>
      <c r="D620" s="194" t="n"/>
      <c r="E620" s="194" t="n"/>
    </row>
    <row r="621" ht="15.75" customHeight="1" s="1">
      <c r="A621" s="194" t="n"/>
      <c r="B621" s="126" t="n"/>
      <c r="C621" s="194" t="n"/>
      <c r="D621" s="194" t="n"/>
      <c r="E621" s="194" t="n"/>
    </row>
    <row r="622" ht="15.75" customHeight="1" s="1">
      <c r="A622" s="194" t="n"/>
      <c r="B622" s="126" t="n"/>
      <c r="C622" s="194" t="n"/>
      <c r="D622" s="194" t="n"/>
      <c r="E622" s="194" t="n"/>
    </row>
    <row r="623" ht="15.75" customHeight="1" s="1">
      <c r="A623" s="194" t="n"/>
      <c r="B623" s="126" t="n"/>
      <c r="C623" s="194" t="n"/>
      <c r="D623" s="194" t="n"/>
      <c r="E623" s="194" t="n"/>
    </row>
    <row r="624" ht="15.75" customHeight="1" s="1">
      <c r="A624" s="194" t="n"/>
      <c r="B624" s="126" t="n"/>
      <c r="C624" s="194" t="n"/>
      <c r="D624" s="194" t="n"/>
      <c r="E624" s="194" t="n"/>
    </row>
    <row r="625" ht="15.75" customHeight="1" s="1">
      <c r="A625" s="194" t="n"/>
      <c r="B625" s="126" t="n"/>
      <c r="C625" s="194" t="n"/>
      <c r="D625" s="194" t="n"/>
      <c r="E625" s="194" t="n"/>
    </row>
    <row r="626" ht="15.75" customHeight="1" s="1">
      <c r="A626" s="194" t="n"/>
      <c r="B626" s="126" t="n"/>
      <c r="C626" s="194" t="n"/>
      <c r="D626" s="194" t="n"/>
      <c r="E626" s="194" t="n"/>
    </row>
    <row r="627" ht="15.75" customHeight="1" s="1">
      <c r="A627" s="194" t="n"/>
      <c r="B627" s="126" t="n"/>
      <c r="C627" s="194" t="n"/>
      <c r="D627" s="194" t="n"/>
      <c r="E627" s="194" t="n"/>
    </row>
    <row r="628" ht="15.75" customHeight="1" s="1">
      <c r="A628" s="194" t="n"/>
      <c r="B628" s="126" t="n"/>
      <c r="C628" s="194" t="n"/>
      <c r="D628" s="194" t="n"/>
      <c r="E628" s="194" t="n"/>
    </row>
    <row r="629" ht="15.75" customHeight="1" s="1">
      <c r="A629" s="194" t="n"/>
      <c r="B629" s="126" t="n"/>
      <c r="C629" s="194" t="n"/>
      <c r="D629" s="194" t="n"/>
      <c r="E629" s="194" t="n"/>
    </row>
    <row r="630" ht="15.75" customHeight="1" s="1">
      <c r="A630" s="194" t="n"/>
      <c r="B630" s="126" t="n"/>
      <c r="C630" s="194" t="n"/>
      <c r="D630" s="194" t="n"/>
      <c r="E630" s="194" t="n"/>
    </row>
    <row r="631" ht="15.75" customHeight="1" s="1">
      <c r="A631" s="194" t="n"/>
      <c r="B631" s="126" t="n"/>
      <c r="C631" s="194" t="n"/>
      <c r="D631" s="194" t="n"/>
      <c r="E631" s="194" t="n"/>
    </row>
    <row r="632" ht="15.75" customHeight="1" s="1">
      <c r="A632" s="194" t="n"/>
      <c r="B632" s="126" t="n"/>
      <c r="C632" s="194" t="n"/>
      <c r="D632" s="194" t="n"/>
      <c r="E632" s="194" t="n"/>
    </row>
    <row r="633" ht="15.75" customHeight="1" s="1">
      <c r="A633" s="194" t="n"/>
      <c r="B633" s="126" t="n"/>
      <c r="C633" s="194" t="n"/>
      <c r="D633" s="194" t="n"/>
      <c r="E633" s="194" t="n"/>
    </row>
    <row r="634" ht="15.75" customHeight="1" s="1">
      <c r="A634" s="194" t="n"/>
      <c r="B634" s="126" t="n"/>
      <c r="C634" s="194" t="n"/>
      <c r="D634" s="194" t="n"/>
      <c r="E634" s="194" t="n"/>
    </row>
    <row r="635" ht="15.75" customHeight="1" s="1">
      <c r="A635" s="194" t="n"/>
      <c r="B635" s="126" t="n"/>
      <c r="C635" s="194" t="n"/>
      <c r="D635" s="194" t="n"/>
      <c r="E635" s="194" t="n"/>
    </row>
    <row r="636" ht="15.75" customHeight="1" s="1">
      <c r="A636" s="194" t="n"/>
      <c r="B636" s="126" t="n"/>
      <c r="C636" s="194" t="n"/>
      <c r="D636" s="194" t="n"/>
      <c r="E636" s="194" t="n"/>
    </row>
    <row r="637" ht="15.75" customHeight="1" s="1">
      <c r="A637" s="194" t="n"/>
      <c r="B637" s="126" t="n"/>
      <c r="C637" s="194" t="n"/>
      <c r="D637" s="194" t="n"/>
      <c r="E637" s="194" t="n"/>
    </row>
    <row r="638" ht="15.75" customHeight="1" s="1">
      <c r="A638" s="194" t="n"/>
      <c r="B638" s="126" t="n"/>
      <c r="C638" s="194" t="n"/>
      <c r="D638" s="194" t="n"/>
      <c r="E638" s="194" t="n"/>
    </row>
    <row r="639" ht="15.75" customHeight="1" s="1">
      <c r="A639" s="194" t="n"/>
      <c r="B639" s="126" t="n"/>
      <c r="C639" s="194" t="n"/>
      <c r="D639" s="194" t="n"/>
      <c r="E639" s="194" t="n"/>
    </row>
    <row r="640" ht="15.75" customHeight="1" s="1">
      <c r="A640" s="194" t="n"/>
      <c r="B640" s="126" t="n"/>
      <c r="C640" s="194" t="n"/>
      <c r="D640" s="194" t="n"/>
      <c r="E640" s="194" t="n"/>
    </row>
    <row r="641" ht="15.75" customHeight="1" s="1">
      <c r="A641" s="194" t="n"/>
      <c r="B641" s="126" t="n"/>
      <c r="C641" s="194" t="n"/>
      <c r="D641" s="194" t="n"/>
      <c r="E641" s="194" t="n"/>
    </row>
    <row r="642" ht="15.75" customHeight="1" s="1">
      <c r="A642" s="194" t="n"/>
      <c r="B642" s="126" t="n"/>
      <c r="C642" s="194" t="n"/>
      <c r="D642" s="194" t="n"/>
      <c r="E642" s="194" t="n"/>
    </row>
    <row r="643" ht="15.75" customHeight="1" s="1">
      <c r="A643" s="194" t="n"/>
      <c r="B643" s="126" t="n"/>
      <c r="C643" s="194" t="n"/>
      <c r="D643" s="194" t="n"/>
      <c r="E643" s="194" t="n"/>
    </row>
    <row r="644" ht="15.75" customHeight="1" s="1">
      <c r="A644" s="194" t="n"/>
      <c r="B644" s="126" t="n"/>
      <c r="C644" s="194" t="n"/>
      <c r="D644" s="194" t="n"/>
      <c r="E644" s="194" t="n"/>
    </row>
    <row r="645" ht="15.75" customHeight="1" s="1">
      <c r="A645" s="194" t="n"/>
      <c r="B645" s="126" t="n"/>
      <c r="C645" s="194" t="n"/>
      <c r="D645" s="194" t="n"/>
      <c r="E645" s="194" t="n"/>
    </row>
    <row r="646" ht="15.75" customHeight="1" s="1">
      <c r="A646" s="194" t="n"/>
      <c r="B646" s="126" t="n"/>
      <c r="C646" s="194" t="n"/>
      <c r="D646" s="194" t="n"/>
      <c r="E646" s="194" t="n"/>
    </row>
    <row r="647" ht="15.75" customHeight="1" s="1">
      <c r="A647" s="194" t="n"/>
      <c r="B647" s="126" t="n"/>
      <c r="C647" s="194" t="n"/>
      <c r="D647" s="194" t="n"/>
      <c r="E647" s="194" t="n"/>
    </row>
    <row r="648" ht="15.75" customHeight="1" s="1">
      <c r="A648" s="194" t="n"/>
      <c r="B648" s="126" t="n"/>
      <c r="C648" s="194" t="n"/>
      <c r="D648" s="194" t="n"/>
      <c r="E648" s="194" t="n"/>
    </row>
    <row r="649" ht="15.75" customHeight="1" s="1">
      <c r="A649" s="194" t="n"/>
      <c r="B649" s="126" t="n"/>
      <c r="C649" s="194" t="n"/>
      <c r="D649" s="194" t="n"/>
      <c r="E649" s="194" t="n"/>
    </row>
    <row r="650" ht="15.75" customHeight="1" s="1">
      <c r="A650" s="194" t="n"/>
      <c r="B650" s="126" t="n"/>
      <c r="C650" s="194" t="n"/>
      <c r="D650" s="194" t="n"/>
      <c r="E650" s="194" t="n"/>
    </row>
    <row r="651" ht="15.75" customHeight="1" s="1">
      <c r="A651" s="194" t="n"/>
      <c r="B651" s="126" t="n"/>
      <c r="C651" s="194" t="n"/>
      <c r="D651" s="194" t="n"/>
      <c r="E651" s="194" t="n"/>
    </row>
    <row r="652" ht="15.75" customHeight="1" s="1">
      <c r="A652" s="194" t="n"/>
      <c r="B652" s="126" t="n"/>
      <c r="C652" s="194" t="n"/>
      <c r="D652" s="194" t="n"/>
      <c r="E652" s="194" t="n"/>
    </row>
    <row r="653" ht="15.75" customHeight="1" s="1">
      <c r="A653" s="194" t="n"/>
      <c r="B653" s="126" t="n"/>
      <c r="C653" s="194" t="n"/>
      <c r="D653" s="194" t="n"/>
      <c r="E653" s="194" t="n"/>
    </row>
    <row r="654" ht="15.75" customHeight="1" s="1">
      <c r="A654" s="194" t="n"/>
      <c r="B654" s="126" t="n"/>
      <c r="C654" s="194" t="n"/>
      <c r="D654" s="194" t="n"/>
      <c r="E654" s="194" t="n"/>
    </row>
    <row r="655" ht="15.75" customHeight="1" s="1">
      <c r="A655" s="194" t="n"/>
      <c r="B655" s="126" t="n"/>
      <c r="C655" s="194" t="n"/>
      <c r="D655" s="194" t="n"/>
      <c r="E655" s="194" t="n"/>
    </row>
    <row r="656" ht="15.75" customHeight="1" s="1">
      <c r="A656" s="194" t="n"/>
      <c r="B656" s="126" t="n"/>
      <c r="C656" s="194" t="n"/>
      <c r="D656" s="194" t="n"/>
      <c r="E656" s="194" t="n"/>
    </row>
    <row r="657" ht="15.75" customHeight="1" s="1">
      <c r="A657" s="194" t="n"/>
      <c r="B657" s="126" t="n"/>
      <c r="C657" s="194" t="n"/>
      <c r="D657" s="194" t="n"/>
      <c r="E657" s="194" t="n"/>
    </row>
    <row r="658" ht="15.75" customHeight="1" s="1">
      <c r="A658" s="194" t="n"/>
      <c r="B658" s="126" t="n"/>
      <c r="C658" s="194" t="n"/>
      <c r="D658" s="194" t="n"/>
      <c r="E658" s="194" t="n"/>
    </row>
    <row r="659" ht="15.75" customHeight="1" s="1">
      <c r="A659" s="194" t="n"/>
      <c r="B659" s="126" t="n"/>
      <c r="C659" s="194" t="n"/>
      <c r="D659" s="194" t="n"/>
      <c r="E659" s="194" t="n"/>
    </row>
    <row r="660" ht="15.75" customHeight="1" s="1">
      <c r="A660" s="194" t="n"/>
      <c r="B660" s="126" t="n"/>
      <c r="C660" s="194" t="n"/>
      <c r="D660" s="194" t="n"/>
      <c r="E660" s="194" t="n"/>
    </row>
    <row r="661" ht="15.75" customHeight="1" s="1">
      <c r="A661" s="194" t="n"/>
      <c r="B661" s="126" t="n"/>
      <c r="C661" s="194" t="n"/>
      <c r="D661" s="194" t="n"/>
      <c r="E661" s="194" t="n"/>
    </row>
    <row r="662" ht="15.75" customHeight="1" s="1">
      <c r="A662" s="194" t="n"/>
      <c r="B662" s="126" t="n"/>
      <c r="C662" s="194" t="n"/>
      <c r="D662" s="194" t="n"/>
      <c r="E662" s="194" t="n"/>
    </row>
    <row r="663" ht="15.75" customHeight="1" s="1">
      <c r="A663" s="194" t="n"/>
      <c r="B663" s="126" t="n"/>
      <c r="C663" s="194" t="n"/>
      <c r="D663" s="194" t="n"/>
      <c r="E663" s="194" t="n"/>
    </row>
    <row r="664" ht="15.75" customHeight="1" s="1">
      <c r="A664" s="194" t="n"/>
      <c r="B664" s="126" t="n"/>
      <c r="C664" s="194" t="n"/>
      <c r="D664" s="194" t="n"/>
      <c r="E664" s="194" t="n"/>
    </row>
    <row r="665" ht="15.75" customHeight="1" s="1">
      <c r="A665" s="194" t="n"/>
      <c r="B665" s="126" t="n"/>
      <c r="C665" s="194" t="n"/>
      <c r="D665" s="194" t="n"/>
      <c r="E665" s="194" t="n"/>
    </row>
    <row r="666" ht="15.75" customHeight="1" s="1">
      <c r="A666" s="194" t="n"/>
      <c r="B666" s="126" t="n"/>
      <c r="C666" s="194" t="n"/>
      <c r="D666" s="194" t="n"/>
      <c r="E666" s="194" t="n"/>
    </row>
    <row r="667" ht="15.75" customHeight="1" s="1">
      <c r="A667" s="194" t="n"/>
      <c r="B667" s="126" t="n"/>
      <c r="C667" s="194" t="n"/>
      <c r="D667" s="194" t="n"/>
      <c r="E667" s="194" t="n"/>
    </row>
    <row r="668" ht="15.75" customHeight="1" s="1">
      <c r="A668" s="194" t="n"/>
      <c r="B668" s="126" t="n"/>
      <c r="C668" s="194" t="n"/>
      <c r="D668" s="194" t="n"/>
      <c r="E668" s="194" t="n"/>
    </row>
    <row r="669" ht="15.75" customHeight="1" s="1">
      <c r="A669" s="194" t="n"/>
      <c r="B669" s="126" t="n"/>
      <c r="C669" s="194" t="n"/>
      <c r="D669" s="194" t="n"/>
      <c r="E669" s="194" t="n"/>
    </row>
    <row r="670" ht="15.75" customHeight="1" s="1">
      <c r="A670" s="194" t="n"/>
      <c r="B670" s="126" t="n"/>
      <c r="C670" s="194" t="n"/>
      <c r="D670" s="194" t="n"/>
      <c r="E670" s="194" t="n"/>
    </row>
    <row r="671" ht="15.75" customHeight="1" s="1">
      <c r="A671" s="194" t="n"/>
      <c r="B671" s="126" t="n"/>
      <c r="C671" s="194" t="n"/>
      <c r="D671" s="194" t="n"/>
      <c r="E671" s="194" t="n"/>
    </row>
    <row r="672" ht="15.75" customHeight="1" s="1">
      <c r="A672" s="194" t="n"/>
      <c r="B672" s="126" t="n"/>
      <c r="C672" s="194" t="n"/>
      <c r="D672" s="194" t="n"/>
      <c r="E672" s="194" t="n"/>
    </row>
    <row r="673" ht="15.75" customHeight="1" s="1">
      <c r="A673" s="194" t="n"/>
      <c r="B673" s="126" t="n"/>
      <c r="C673" s="194" t="n"/>
      <c r="D673" s="194" t="n"/>
      <c r="E673" s="194" t="n"/>
    </row>
    <row r="674" ht="15.75" customHeight="1" s="1">
      <c r="A674" s="194" t="n"/>
      <c r="B674" s="126" t="n"/>
      <c r="C674" s="194" t="n"/>
      <c r="D674" s="194" t="n"/>
      <c r="E674" s="194" t="n"/>
    </row>
    <row r="675" ht="15.75" customHeight="1" s="1">
      <c r="A675" s="194" t="n"/>
      <c r="B675" s="126" t="n"/>
      <c r="C675" s="194" t="n"/>
      <c r="D675" s="194" t="n"/>
      <c r="E675" s="194" t="n"/>
    </row>
    <row r="676" ht="15.75" customHeight="1" s="1">
      <c r="A676" s="194" t="n"/>
      <c r="B676" s="126" t="n"/>
      <c r="C676" s="194" t="n"/>
      <c r="D676" s="194" t="n"/>
      <c r="E676" s="194" t="n"/>
    </row>
    <row r="677" ht="15.75" customHeight="1" s="1">
      <c r="A677" s="194" t="n"/>
      <c r="B677" s="126" t="n"/>
      <c r="C677" s="194" t="n"/>
      <c r="D677" s="194" t="n"/>
      <c r="E677" s="194" t="n"/>
    </row>
    <row r="678" ht="15.75" customHeight="1" s="1">
      <c r="A678" s="194" t="n"/>
      <c r="B678" s="126" t="n"/>
      <c r="C678" s="194" t="n"/>
      <c r="D678" s="194" t="n"/>
      <c r="E678" s="194" t="n"/>
    </row>
    <row r="679" ht="15.75" customHeight="1" s="1">
      <c r="A679" s="194" t="n"/>
      <c r="B679" s="126" t="n"/>
      <c r="C679" s="194" t="n"/>
      <c r="D679" s="194" t="n"/>
      <c r="E679" s="194" t="n"/>
    </row>
    <row r="680" ht="15.75" customHeight="1" s="1">
      <c r="A680" s="194" t="n"/>
      <c r="B680" s="126" t="n"/>
      <c r="C680" s="194" t="n"/>
      <c r="D680" s="194" t="n"/>
      <c r="E680" s="194" t="n"/>
    </row>
    <row r="681" ht="15.75" customHeight="1" s="1">
      <c r="A681" s="194" t="n"/>
      <c r="B681" s="126" t="n"/>
      <c r="C681" s="194" t="n"/>
      <c r="D681" s="194" t="n"/>
      <c r="E681" s="194" t="n"/>
    </row>
    <row r="682" ht="15.75" customHeight="1" s="1">
      <c r="A682" s="194" t="n"/>
      <c r="B682" s="126" t="n"/>
      <c r="C682" s="194" t="n"/>
      <c r="D682" s="194" t="n"/>
      <c r="E682" s="194" t="n"/>
    </row>
    <row r="683" ht="15.75" customHeight="1" s="1">
      <c r="A683" s="194" t="n"/>
      <c r="B683" s="126" t="n"/>
      <c r="C683" s="194" t="n"/>
      <c r="D683" s="194" t="n"/>
      <c r="E683" s="194" t="n"/>
    </row>
    <row r="684" ht="15.75" customHeight="1" s="1">
      <c r="A684" s="194" t="n"/>
      <c r="B684" s="126" t="n"/>
      <c r="C684" s="194" t="n"/>
      <c r="D684" s="194" t="n"/>
      <c r="E684" s="194" t="n"/>
    </row>
    <row r="685" ht="15.75" customHeight="1" s="1">
      <c r="A685" s="194" t="n"/>
      <c r="B685" s="126" t="n"/>
      <c r="C685" s="194" t="n"/>
      <c r="D685" s="194" t="n"/>
      <c r="E685" s="194" t="n"/>
    </row>
    <row r="686" ht="15.75" customHeight="1" s="1">
      <c r="A686" s="194" t="n"/>
      <c r="B686" s="126" t="n"/>
      <c r="C686" s="194" t="n"/>
      <c r="D686" s="194" t="n"/>
      <c r="E686" s="194" t="n"/>
    </row>
    <row r="687" ht="15.75" customHeight="1" s="1">
      <c r="A687" s="194" t="n"/>
      <c r="B687" s="126" t="n"/>
      <c r="C687" s="194" t="n"/>
      <c r="D687" s="194" t="n"/>
      <c r="E687" s="194" t="n"/>
    </row>
    <row r="688" ht="15.75" customHeight="1" s="1">
      <c r="A688" s="194" t="n"/>
      <c r="B688" s="126" t="n"/>
      <c r="C688" s="194" t="n"/>
      <c r="D688" s="194" t="n"/>
      <c r="E688" s="194" t="n"/>
    </row>
    <row r="689" ht="15.75" customHeight="1" s="1">
      <c r="A689" s="194" t="n"/>
      <c r="B689" s="126" t="n"/>
      <c r="C689" s="194" t="n"/>
      <c r="D689" s="194" t="n"/>
      <c r="E689" s="194" t="n"/>
    </row>
    <row r="690" ht="15.75" customHeight="1" s="1">
      <c r="A690" s="194" t="n"/>
      <c r="B690" s="126" t="n"/>
      <c r="C690" s="194" t="n"/>
      <c r="D690" s="194" t="n"/>
      <c r="E690" s="194" t="n"/>
    </row>
    <row r="691" ht="15.75" customHeight="1" s="1">
      <c r="A691" s="194" t="n"/>
      <c r="B691" s="126" t="n"/>
      <c r="C691" s="194" t="n"/>
      <c r="D691" s="194" t="n"/>
      <c r="E691" s="194" t="n"/>
    </row>
    <row r="692" ht="15.75" customHeight="1" s="1">
      <c r="A692" s="194" t="n"/>
      <c r="B692" s="126" t="n"/>
      <c r="C692" s="194" t="n"/>
      <c r="D692" s="194" t="n"/>
      <c r="E692" s="194" t="n"/>
    </row>
    <row r="693" ht="15.75" customHeight="1" s="1">
      <c r="A693" s="194" t="n"/>
      <c r="B693" s="126" t="n"/>
      <c r="C693" s="194" t="n"/>
      <c r="D693" s="194" t="n"/>
      <c r="E693" s="194" t="n"/>
    </row>
    <row r="694" ht="15.75" customHeight="1" s="1">
      <c r="A694" s="194" t="n"/>
      <c r="B694" s="126" t="n"/>
      <c r="C694" s="194" t="n"/>
      <c r="D694" s="194" t="n"/>
      <c r="E694" s="194" t="n"/>
    </row>
    <row r="695" ht="15.75" customHeight="1" s="1">
      <c r="A695" s="194" t="n"/>
      <c r="B695" s="126" t="n"/>
      <c r="C695" s="194" t="n"/>
      <c r="D695" s="194" t="n"/>
      <c r="E695" s="194" t="n"/>
    </row>
    <row r="696" ht="15.75" customHeight="1" s="1">
      <c r="A696" s="194" t="n"/>
      <c r="B696" s="126" t="n"/>
      <c r="C696" s="194" t="n"/>
      <c r="D696" s="194" t="n"/>
      <c r="E696" s="194" t="n"/>
    </row>
    <row r="697" ht="15.75" customHeight="1" s="1">
      <c r="A697" s="194" t="n"/>
      <c r="B697" s="126" t="n"/>
      <c r="C697" s="194" t="n"/>
      <c r="D697" s="194" t="n"/>
      <c r="E697" s="194" t="n"/>
    </row>
    <row r="698" ht="15.75" customHeight="1" s="1">
      <c r="A698" s="194" t="n"/>
      <c r="B698" s="126" t="n"/>
      <c r="C698" s="194" t="n"/>
      <c r="D698" s="194" t="n"/>
      <c r="E698" s="194" t="n"/>
    </row>
    <row r="699" ht="15.75" customHeight="1" s="1">
      <c r="A699" s="194" t="n"/>
      <c r="B699" s="126" t="n"/>
      <c r="C699" s="194" t="n"/>
      <c r="D699" s="194" t="n"/>
      <c r="E699" s="194" t="n"/>
    </row>
    <row r="700" ht="15.75" customHeight="1" s="1">
      <c r="A700" s="194" t="n"/>
      <c r="B700" s="126" t="n"/>
      <c r="C700" s="194" t="n"/>
      <c r="D700" s="194" t="n"/>
      <c r="E700" s="194" t="n"/>
    </row>
    <row r="701" ht="15.75" customHeight="1" s="1">
      <c r="A701" s="194" t="n"/>
      <c r="B701" s="126" t="n"/>
      <c r="C701" s="194" t="n"/>
      <c r="D701" s="194" t="n"/>
      <c r="E701" s="194" t="n"/>
    </row>
    <row r="702" ht="15.75" customHeight="1" s="1">
      <c r="A702" s="194" t="n"/>
      <c r="B702" s="126" t="n"/>
      <c r="C702" s="194" t="n"/>
      <c r="D702" s="194" t="n"/>
      <c r="E702" s="194" t="n"/>
    </row>
    <row r="703" ht="15.75" customHeight="1" s="1">
      <c r="A703" s="194" t="n"/>
      <c r="B703" s="126" t="n"/>
      <c r="C703" s="194" t="n"/>
      <c r="D703" s="194" t="n"/>
      <c r="E703" s="194" t="n"/>
    </row>
    <row r="704" ht="15.75" customHeight="1" s="1">
      <c r="A704" s="194" t="n"/>
      <c r="B704" s="126" t="n"/>
      <c r="C704" s="194" t="n"/>
      <c r="D704" s="194" t="n"/>
      <c r="E704" s="194" t="n"/>
    </row>
    <row r="705" ht="15.75" customHeight="1" s="1">
      <c r="A705" s="194" t="n"/>
      <c r="B705" s="126" t="n"/>
      <c r="C705" s="194" t="n"/>
      <c r="D705" s="194" t="n"/>
      <c r="E705" s="194" t="n"/>
    </row>
    <row r="706" ht="15.75" customHeight="1" s="1">
      <c r="A706" s="194" t="n"/>
      <c r="B706" s="126" t="n"/>
      <c r="C706" s="194" t="n"/>
      <c r="D706" s="194" t="n"/>
      <c r="E706" s="194" t="n"/>
    </row>
    <row r="707" ht="15.75" customHeight="1" s="1">
      <c r="A707" s="194" t="n"/>
      <c r="B707" s="126" t="n"/>
      <c r="C707" s="194" t="n"/>
      <c r="D707" s="194" t="n"/>
      <c r="E707" s="194" t="n"/>
    </row>
    <row r="708" ht="15.75" customHeight="1" s="1">
      <c r="A708" s="194" t="n"/>
      <c r="B708" s="126" t="n"/>
      <c r="C708" s="194" t="n"/>
      <c r="D708" s="194" t="n"/>
      <c r="E708" s="194" t="n"/>
    </row>
    <row r="709" ht="15.75" customHeight="1" s="1">
      <c r="A709" s="194" t="n"/>
      <c r="B709" s="126" t="n"/>
      <c r="C709" s="194" t="n"/>
      <c r="D709" s="194" t="n"/>
      <c r="E709" s="194" t="n"/>
    </row>
    <row r="710" ht="15.75" customHeight="1" s="1">
      <c r="A710" s="194" t="n"/>
      <c r="B710" s="126" t="n"/>
      <c r="C710" s="194" t="n"/>
      <c r="D710" s="194" t="n"/>
      <c r="E710" s="194" t="n"/>
    </row>
    <row r="711" ht="15.75" customHeight="1" s="1">
      <c r="A711" s="194" t="n"/>
      <c r="B711" s="126" t="n"/>
      <c r="C711" s="194" t="n"/>
      <c r="D711" s="194" t="n"/>
      <c r="E711" s="194" t="n"/>
    </row>
    <row r="712" ht="15.75" customHeight="1" s="1">
      <c r="A712" s="194" t="n"/>
      <c r="B712" s="126" t="n"/>
      <c r="C712" s="194" t="n"/>
      <c r="D712" s="194" t="n"/>
      <c r="E712" s="194" t="n"/>
    </row>
    <row r="713" ht="15.75" customHeight="1" s="1">
      <c r="A713" s="194" t="n"/>
      <c r="B713" s="126" t="n"/>
      <c r="C713" s="194" t="n"/>
      <c r="D713" s="194" t="n"/>
      <c r="E713" s="194" t="n"/>
    </row>
    <row r="714" ht="15.75" customHeight="1" s="1">
      <c r="A714" s="194" t="n"/>
      <c r="B714" s="126" t="n"/>
      <c r="C714" s="194" t="n"/>
      <c r="D714" s="194" t="n"/>
      <c r="E714" s="194" t="n"/>
    </row>
    <row r="715" ht="15.75" customHeight="1" s="1">
      <c r="A715" s="194" t="n"/>
      <c r="B715" s="126" t="n"/>
      <c r="C715" s="194" t="n"/>
      <c r="D715" s="194" t="n"/>
      <c r="E715" s="194" t="n"/>
    </row>
    <row r="716" ht="15.75" customHeight="1" s="1">
      <c r="A716" s="194" t="n"/>
      <c r="B716" s="126" t="n"/>
      <c r="C716" s="194" t="n"/>
      <c r="D716" s="194" t="n"/>
      <c r="E716" s="194" t="n"/>
    </row>
    <row r="717" ht="15.75" customHeight="1" s="1">
      <c r="A717" s="194" t="n"/>
      <c r="B717" s="126" t="n"/>
      <c r="C717" s="194" t="n"/>
      <c r="D717" s="194" t="n"/>
      <c r="E717" s="194" t="n"/>
    </row>
    <row r="718" ht="15.75" customHeight="1" s="1">
      <c r="A718" s="194" t="n"/>
      <c r="B718" s="126" t="n"/>
      <c r="C718" s="194" t="n"/>
      <c r="D718" s="194" t="n"/>
      <c r="E718" s="194" t="n"/>
    </row>
    <row r="719" ht="15.75" customHeight="1" s="1">
      <c r="A719" s="194" t="n"/>
      <c r="B719" s="126" t="n"/>
      <c r="C719" s="194" t="n"/>
      <c r="D719" s="194" t="n"/>
      <c r="E719" s="194" t="n"/>
    </row>
    <row r="720" ht="15.75" customHeight="1" s="1">
      <c r="A720" s="194" t="n"/>
      <c r="B720" s="126" t="n"/>
      <c r="C720" s="194" t="n"/>
      <c r="D720" s="194" t="n"/>
      <c r="E720" s="194" t="n"/>
    </row>
    <row r="721" ht="15.75" customHeight="1" s="1">
      <c r="A721" s="194" t="n"/>
      <c r="B721" s="126" t="n"/>
      <c r="C721" s="194" t="n"/>
      <c r="D721" s="194" t="n"/>
      <c r="E721" s="194" t="n"/>
    </row>
    <row r="722" ht="15.75" customHeight="1" s="1">
      <c r="A722" s="194" t="n"/>
      <c r="B722" s="126" t="n"/>
      <c r="C722" s="194" t="n"/>
      <c r="D722" s="194" t="n"/>
      <c r="E722" s="194" t="n"/>
    </row>
    <row r="723" ht="15.75" customHeight="1" s="1">
      <c r="A723" s="194" t="n"/>
      <c r="B723" s="126" t="n"/>
      <c r="C723" s="194" t="n"/>
      <c r="D723" s="194" t="n"/>
      <c r="E723" s="194" t="n"/>
    </row>
    <row r="724" ht="15.75" customHeight="1" s="1">
      <c r="A724" s="194" t="n"/>
      <c r="B724" s="126" t="n"/>
      <c r="C724" s="194" t="n"/>
      <c r="D724" s="194" t="n"/>
      <c r="E724" s="194" t="n"/>
    </row>
    <row r="725" ht="15.75" customHeight="1" s="1">
      <c r="A725" s="194" t="n"/>
      <c r="B725" s="126" t="n"/>
      <c r="C725" s="194" t="n"/>
      <c r="D725" s="194" t="n"/>
      <c r="E725" s="194" t="n"/>
    </row>
    <row r="726" ht="15.75" customHeight="1" s="1">
      <c r="A726" s="194" t="n"/>
      <c r="B726" s="126" t="n"/>
      <c r="C726" s="194" t="n"/>
      <c r="D726" s="194" t="n"/>
      <c r="E726" s="194" t="n"/>
    </row>
    <row r="727" ht="15.75" customHeight="1" s="1">
      <c r="A727" s="194" t="n"/>
      <c r="B727" s="126" t="n"/>
      <c r="C727" s="194" t="n"/>
      <c r="D727" s="194" t="n"/>
      <c r="E727" s="194" t="n"/>
    </row>
    <row r="728" ht="15.75" customHeight="1" s="1">
      <c r="A728" s="194" t="n"/>
      <c r="B728" s="126" t="n"/>
      <c r="C728" s="194" t="n"/>
      <c r="D728" s="194" t="n"/>
      <c r="E728" s="194" t="n"/>
    </row>
    <row r="729" ht="15.75" customHeight="1" s="1">
      <c r="A729" s="194" t="n"/>
      <c r="B729" s="126" t="n"/>
      <c r="C729" s="194" t="n"/>
      <c r="D729" s="194" t="n"/>
      <c r="E729" s="194" t="n"/>
    </row>
    <row r="730" ht="15.75" customHeight="1" s="1">
      <c r="A730" s="194" t="n"/>
      <c r="B730" s="126" t="n"/>
      <c r="C730" s="194" t="n"/>
      <c r="D730" s="194" t="n"/>
      <c r="E730" s="194" t="n"/>
    </row>
    <row r="731" ht="15.75" customHeight="1" s="1">
      <c r="A731" s="194" t="n"/>
      <c r="B731" s="126" t="n"/>
      <c r="C731" s="194" t="n"/>
      <c r="D731" s="194" t="n"/>
      <c r="E731" s="194" t="n"/>
    </row>
    <row r="732" ht="15.75" customHeight="1" s="1">
      <c r="A732" s="194" t="n"/>
      <c r="B732" s="126" t="n"/>
      <c r="C732" s="194" t="n"/>
      <c r="D732" s="194" t="n"/>
      <c r="E732" s="194" t="n"/>
    </row>
    <row r="733" ht="15.75" customHeight="1" s="1">
      <c r="A733" s="194" t="n"/>
      <c r="B733" s="126" t="n"/>
      <c r="C733" s="194" t="n"/>
      <c r="D733" s="194" t="n"/>
      <c r="E733" s="194" t="n"/>
    </row>
    <row r="734" ht="15.75" customHeight="1" s="1">
      <c r="A734" s="194" t="n"/>
      <c r="B734" s="126" t="n"/>
      <c r="C734" s="194" t="n"/>
      <c r="D734" s="194" t="n"/>
      <c r="E734" s="194" t="n"/>
    </row>
    <row r="735" ht="15.75" customHeight="1" s="1">
      <c r="A735" s="194" t="n"/>
      <c r="B735" s="126" t="n"/>
      <c r="C735" s="194" t="n"/>
      <c r="D735" s="194" t="n"/>
      <c r="E735" s="194" t="n"/>
    </row>
    <row r="736" ht="15.75" customHeight="1" s="1">
      <c r="A736" s="194" t="n"/>
      <c r="B736" s="126" t="n"/>
      <c r="C736" s="194" t="n"/>
      <c r="D736" s="194" t="n"/>
      <c r="E736" s="194" t="n"/>
    </row>
    <row r="737" ht="15.75" customHeight="1" s="1">
      <c r="A737" s="194" t="n"/>
      <c r="B737" s="126" t="n"/>
      <c r="C737" s="194" t="n"/>
      <c r="D737" s="194" t="n"/>
      <c r="E737" s="194" t="n"/>
    </row>
    <row r="738" ht="15.75" customHeight="1" s="1">
      <c r="A738" s="194" t="n"/>
      <c r="B738" s="126" t="n"/>
      <c r="C738" s="194" t="n"/>
      <c r="D738" s="194" t="n"/>
      <c r="E738" s="194" t="n"/>
    </row>
    <row r="739" ht="15.75" customHeight="1" s="1">
      <c r="A739" s="194" t="n"/>
      <c r="B739" s="126" t="n"/>
      <c r="C739" s="194" t="n"/>
      <c r="D739" s="194" t="n"/>
      <c r="E739" s="194" t="n"/>
    </row>
    <row r="740" ht="15.75" customHeight="1" s="1">
      <c r="A740" s="194" t="n"/>
      <c r="B740" s="126" t="n"/>
      <c r="C740" s="194" t="n"/>
      <c r="D740" s="194" t="n"/>
      <c r="E740" s="194" t="n"/>
    </row>
    <row r="741" ht="15.75" customHeight="1" s="1">
      <c r="A741" s="194" t="n"/>
      <c r="B741" s="126" t="n"/>
      <c r="C741" s="194" t="n"/>
      <c r="D741" s="194" t="n"/>
      <c r="E741" s="194" t="n"/>
    </row>
    <row r="742" ht="15.75" customHeight="1" s="1">
      <c r="A742" s="194" t="n"/>
      <c r="B742" s="126" t="n"/>
      <c r="C742" s="194" t="n"/>
      <c r="D742" s="194" t="n"/>
      <c r="E742" s="194" t="n"/>
    </row>
    <row r="743" ht="15.75" customHeight="1" s="1">
      <c r="A743" s="194" t="n"/>
      <c r="B743" s="126" t="n"/>
      <c r="C743" s="194" t="n"/>
      <c r="D743" s="194" t="n"/>
      <c r="E743" s="194" t="n"/>
    </row>
    <row r="744" ht="15.75" customHeight="1" s="1">
      <c r="A744" s="194" t="n"/>
      <c r="B744" s="126" t="n"/>
      <c r="C744" s="194" t="n"/>
      <c r="D744" s="194" t="n"/>
      <c r="E744" s="194" t="n"/>
    </row>
    <row r="745" ht="15.75" customHeight="1" s="1">
      <c r="A745" s="194" t="n"/>
      <c r="B745" s="126" t="n"/>
      <c r="C745" s="194" t="n"/>
      <c r="D745" s="194" t="n"/>
      <c r="E745" s="194" t="n"/>
    </row>
    <row r="746" ht="15.75" customHeight="1" s="1">
      <c r="A746" s="194" t="n"/>
      <c r="B746" s="126" t="n"/>
      <c r="C746" s="194" t="n"/>
      <c r="D746" s="194" t="n"/>
      <c r="E746" s="194" t="n"/>
    </row>
    <row r="747" ht="15.75" customHeight="1" s="1">
      <c r="A747" s="194" t="n"/>
      <c r="B747" s="126" t="n"/>
      <c r="C747" s="194" t="n"/>
      <c r="D747" s="194" t="n"/>
      <c r="E747" s="194" t="n"/>
    </row>
    <row r="748" ht="15.75" customHeight="1" s="1">
      <c r="A748" s="194" t="n"/>
      <c r="B748" s="126" t="n"/>
      <c r="C748" s="194" t="n"/>
      <c r="D748" s="194" t="n"/>
      <c r="E748" s="194" t="n"/>
    </row>
    <row r="749" ht="15.75" customHeight="1" s="1">
      <c r="A749" s="194" t="n"/>
      <c r="B749" s="126" t="n"/>
      <c r="C749" s="194" t="n"/>
      <c r="D749" s="194" t="n"/>
      <c r="E749" s="194" t="n"/>
    </row>
    <row r="750" ht="15.75" customHeight="1" s="1">
      <c r="A750" s="194" t="n"/>
      <c r="B750" s="126" t="n"/>
      <c r="C750" s="194" t="n"/>
      <c r="D750" s="194" t="n"/>
      <c r="E750" s="194" t="n"/>
    </row>
    <row r="751" ht="15.75" customHeight="1" s="1">
      <c r="A751" s="194" t="n"/>
      <c r="B751" s="126" t="n"/>
      <c r="C751" s="194" t="n"/>
      <c r="D751" s="194" t="n"/>
      <c r="E751" s="194" t="n"/>
    </row>
    <row r="752" ht="15.75" customHeight="1" s="1">
      <c r="A752" s="194" t="n"/>
      <c r="B752" s="126" t="n"/>
      <c r="C752" s="194" t="n"/>
      <c r="D752" s="194" t="n"/>
      <c r="E752" s="194" t="n"/>
    </row>
    <row r="753" ht="15.75" customHeight="1" s="1">
      <c r="A753" s="194" t="n"/>
      <c r="B753" s="126" t="n"/>
      <c r="C753" s="194" t="n"/>
      <c r="D753" s="194" t="n"/>
      <c r="E753" s="194" t="n"/>
    </row>
    <row r="754" ht="15.75" customHeight="1" s="1">
      <c r="A754" s="194" t="n"/>
      <c r="B754" s="126" t="n"/>
      <c r="C754" s="194" t="n"/>
      <c r="D754" s="194" t="n"/>
      <c r="E754" s="194" t="n"/>
    </row>
    <row r="755" ht="15.75" customHeight="1" s="1">
      <c r="A755" s="194" t="n"/>
      <c r="B755" s="126" t="n"/>
      <c r="C755" s="194" t="n"/>
      <c r="D755" s="194" t="n"/>
      <c r="E755" s="194" t="n"/>
    </row>
    <row r="756" ht="15.75" customHeight="1" s="1">
      <c r="A756" s="194" t="n"/>
      <c r="B756" s="126" t="n"/>
      <c r="C756" s="194" t="n"/>
      <c r="D756" s="194" t="n"/>
      <c r="E756" s="194" t="n"/>
    </row>
    <row r="757" ht="15.75" customHeight="1" s="1">
      <c r="A757" s="194" t="n"/>
      <c r="B757" s="126" t="n"/>
      <c r="C757" s="194" t="n"/>
      <c r="D757" s="194" t="n"/>
      <c r="E757" s="194" t="n"/>
    </row>
    <row r="758" ht="15.75" customHeight="1" s="1">
      <c r="A758" s="194" t="n"/>
      <c r="B758" s="126" t="n"/>
      <c r="C758" s="194" t="n"/>
      <c r="D758" s="194" t="n"/>
      <c r="E758" s="194" t="n"/>
    </row>
    <row r="759" ht="15.75" customHeight="1" s="1">
      <c r="A759" s="194" t="n"/>
      <c r="B759" s="126" t="n"/>
      <c r="C759" s="194" t="n"/>
      <c r="D759" s="194" t="n"/>
      <c r="E759" s="194" t="n"/>
    </row>
    <row r="760" ht="15.75" customHeight="1" s="1">
      <c r="A760" s="194" t="n"/>
      <c r="B760" s="126" t="n"/>
      <c r="C760" s="194" t="n"/>
      <c r="D760" s="194" t="n"/>
      <c r="E760" s="194" t="n"/>
    </row>
    <row r="761" ht="15.75" customHeight="1" s="1">
      <c r="A761" s="194" t="n"/>
      <c r="B761" s="126" t="n"/>
      <c r="C761" s="194" t="n"/>
      <c r="D761" s="194" t="n"/>
      <c r="E761" s="194" t="n"/>
    </row>
    <row r="762" ht="15.75" customHeight="1" s="1">
      <c r="A762" s="194" t="n"/>
      <c r="B762" s="126" t="n"/>
      <c r="C762" s="194" t="n"/>
      <c r="D762" s="194" t="n"/>
      <c r="E762" s="194" t="n"/>
    </row>
    <row r="763" ht="15.75" customHeight="1" s="1">
      <c r="A763" s="194" t="n"/>
      <c r="B763" s="126" t="n"/>
      <c r="C763" s="194" t="n"/>
      <c r="D763" s="194" t="n"/>
      <c r="E763" s="194" t="n"/>
    </row>
    <row r="764" ht="15.75" customHeight="1" s="1">
      <c r="A764" s="194" t="n"/>
      <c r="B764" s="126" t="n"/>
      <c r="C764" s="194" t="n"/>
      <c r="D764" s="194" t="n"/>
      <c r="E764" s="194" t="n"/>
    </row>
    <row r="765" ht="15.75" customHeight="1" s="1">
      <c r="A765" s="194" t="n"/>
      <c r="B765" s="126" t="n"/>
      <c r="C765" s="194" t="n"/>
      <c r="D765" s="194" t="n"/>
      <c r="E765" s="194" t="n"/>
    </row>
    <row r="766" ht="15.75" customHeight="1" s="1">
      <c r="A766" s="194" t="n"/>
      <c r="B766" s="126" t="n"/>
      <c r="C766" s="194" t="n"/>
      <c r="D766" s="194" t="n"/>
      <c r="E766" s="194" t="n"/>
    </row>
    <row r="767" ht="15.75" customHeight="1" s="1">
      <c r="A767" s="194" t="n"/>
      <c r="B767" s="126" t="n"/>
      <c r="C767" s="194" t="n"/>
      <c r="D767" s="194" t="n"/>
      <c r="E767" s="194" t="n"/>
    </row>
    <row r="768" ht="15.75" customHeight="1" s="1">
      <c r="A768" s="194" t="n"/>
      <c r="B768" s="126" t="n"/>
      <c r="C768" s="194" t="n"/>
      <c r="D768" s="194" t="n"/>
      <c r="E768" s="194" t="n"/>
    </row>
    <row r="769" ht="15.75" customHeight="1" s="1">
      <c r="A769" s="194" t="n"/>
      <c r="B769" s="126" t="n"/>
      <c r="C769" s="194" t="n"/>
      <c r="D769" s="194" t="n"/>
      <c r="E769" s="194" t="n"/>
    </row>
    <row r="770" ht="15.75" customHeight="1" s="1">
      <c r="A770" s="194" t="n"/>
      <c r="B770" s="126" t="n"/>
      <c r="C770" s="194" t="n"/>
      <c r="D770" s="194" t="n"/>
      <c r="E770" s="194" t="n"/>
    </row>
    <row r="771" ht="15.75" customHeight="1" s="1">
      <c r="A771" s="194" t="n"/>
      <c r="B771" s="126" t="n"/>
      <c r="C771" s="194" t="n"/>
      <c r="D771" s="194" t="n"/>
      <c r="E771" s="194" t="n"/>
    </row>
    <row r="772" ht="15.75" customHeight="1" s="1">
      <c r="A772" s="194" t="n"/>
      <c r="B772" s="126" t="n"/>
      <c r="C772" s="194" t="n"/>
      <c r="D772" s="194" t="n"/>
      <c r="E772" s="194" t="n"/>
    </row>
    <row r="773" ht="15.75" customHeight="1" s="1">
      <c r="A773" s="194" t="n"/>
      <c r="B773" s="126" t="n"/>
      <c r="C773" s="194" t="n"/>
      <c r="D773" s="194" t="n"/>
      <c r="E773" s="194" t="n"/>
    </row>
    <row r="774" ht="15.75" customHeight="1" s="1">
      <c r="A774" s="194" t="n"/>
      <c r="B774" s="126" t="n"/>
      <c r="C774" s="194" t="n"/>
      <c r="D774" s="194" t="n"/>
      <c r="E774" s="194" t="n"/>
    </row>
    <row r="775" ht="15.75" customHeight="1" s="1">
      <c r="A775" s="194" t="n"/>
      <c r="B775" s="126" t="n"/>
      <c r="C775" s="194" t="n"/>
      <c r="D775" s="194" t="n"/>
      <c r="E775" s="194" t="n"/>
    </row>
    <row r="776" ht="15.75" customHeight="1" s="1">
      <c r="A776" s="194" t="n"/>
      <c r="B776" s="126" t="n"/>
      <c r="C776" s="194" t="n"/>
      <c r="D776" s="194" t="n"/>
      <c r="E776" s="194" t="n"/>
    </row>
    <row r="777" ht="15.75" customHeight="1" s="1">
      <c r="A777" s="194" t="n"/>
      <c r="B777" s="126" t="n"/>
      <c r="C777" s="194" t="n"/>
      <c r="D777" s="194" t="n"/>
      <c r="E777" s="194" t="n"/>
    </row>
    <row r="778" ht="15.75" customHeight="1" s="1">
      <c r="A778" s="194" t="n"/>
      <c r="B778" s="126" t="n"/>
      <c r="C778" s="194" t="n"/>
      <c r="D778" s="194" t="n"/>
      <c r="E778" s="194" t="n"/>
    </row>
    <row r="779" ht="15.75" customHeight="1" s="1">
      <c r="A779" s="194" t="n"/>
      <c r="B779" s="126" t="n"/>
      <c r="C779" s="194" t="n"/>
      <c r="D779" s="194" t="n"/>
      <c r="E779" s="194" t="n"/>
    </row>
    <row r="780" ht="15.75" customHeight="1" s="1">
      <c r="A780" s="194" t="n"/>
      <c r="B780" s="126" t="n"/>
      <c r="C780" s="194" t="n"/>
      <c r="D780" s="194" t="n"/>
      <c r="E780" s="194" t="n"/>
    </row>
    <row r="781" ht="15.75" customHeight="1" s="1">
      <c r="A781" s="194" t="n"/>
      <c r="B781" s="126" t="n"/>
      <c r="C781" s="194" t="n"/>
      <c r="D781" s="194" t="n"/>
      <c r="E781" s="194" t="n"/>
    </row>
    <row r="782" ht="15.75" customHeight="1" s="1">
      <c r="A782" s="194" t="n"/>
      <c r="B782" s="126" t="n"/>
      <c r="C782" s="194" t="n"/>
      <c r="D782" s="194" t="n"/>
      <c r="E782" s="194" t="n"/>
    </row>
    <row r="783" ht="15.75" customHeight="1" s="1">
      <c r="A783" s="194" t="n"/>
      <c r="B783" s="126" t="n"/>
      <c r="C783" s="194" t="n"/>
      <c r="D783" s="194" t="n"/>
      <c r="E783" s="194" t="n"/>
    </row>
    <row r="784" ht="15.75" customHeight="1" s="1">
      <c r="A784" s="194" t="n"/>
      <c r="B784" s="126" t="n"/>
      <c r="C784" s="194" t="n"/>
      <c r="D784" s="194" t="n"/>
      <c r="E784" s="194" t="n"/>
    </row>
    <row r="785" ht="15.75" customHeight="1" s="1">
      <c r="A785" s="194" t="n"/>
      <c r="B785" s="126" t="n"/>
      <c r="C785" s="194" t="n"/>
      <c r="D785" s="194" t="n"/>
      <c r="E785" s="194" t="n"/>
    </row>
    <row r="786" ht="15.75" customHeight="1" s="1">
      <c r="A786" s="194" t="n"/>
      <c r="B786" s="126" t="n"/>
      <c r="C786" s="194" t="n"/>
      <c r="D786" s="194" t="n"/>
      <c r="E786" s="194" t="n"/>
    </row>
    <row r="787" ht="15.75" customHeight="1" s="1">
      <c r="A787" s="194" t="n"/>
      <c r="B787" s="126" t="n"/>
      <c r="C787" s="194" t="n"/>
      <c r="D787" s="194" t="n"/>
      <c r="E787" s="194" t="n"/>
    </row>
    <row r="788" ht="15.75" customHeight="1" s="1">
      <c r="A788" s="194" t="n"/>
      <c r="B788" s="126" t="n"/>
      <c r="C788" s="194" t="n"/>
      <c r="D788" s="194" t="n"/>
      <c r="E788" s="194" t="n"/>
    </row>
    <row r="789" ht="15.75" customHeight="1" s="1">
      <c r="A789" s="194" t="n"/>
      <c r="B789" s="126" t="n"/>
      <c r="C789" s="194" t="n"/>
      <c r="D789" s="194" t="n"/>
      <c r="E789" s="194" t="n"/>
    </row>
    <row r="790" ht="15.75" customHeight="1" s="1">
      <c r="A790" s="194" t="n"/>
      <c r="B790" s="126" t="n"/>
      <c r="C790" s="194" t="n"/>
      <c r="D790" s="194" t="n"/>
      <c r="E790" s="194" t="n"/>
    </row>
    <row r="791" ht="15.75" customHeight="1" s="1">
      <c r="A791" s="194" t="n"/>
      <c r="B791" s="126" t="n"/>
      <c r="C791" s="194" t="n"/>
      <c r="D791" s="194" t="n"/>
      <c r="E791" s="194" t="n"/>
    </row>
    <row r="792" ht="15.75" customHeight="1" s="1">
      <c r="A792" s="194" t="n"/>
      <c r="B792" s="126" t="n"/>
      <c r="C792" s="194" t="n"/>
      <c r="D792" s="194" t="n"/>
      <c r="E792" s="194" t="n"/>
    </row>
    <row r="793" ht="15.75" customHeight="1" s="1">
      <c r="A793" s="194" t="n"/>
      <c r="B793" s="126" t="n"/>
      <c r="C793" s="194" t="n"/>
      <c r="D793" s="194" t="n"/>
      <c r="E793" s="194" t="n"/>
    </row>
    <row r="794" ht="15.75" customHeight="1" s="1">
      <c r="A794" s="194" t="n"/>
      <c r="B794" s="126" t="n"/>
      <c r="C794" s="194" t="n"/>
      <c r="D794" s="194" t="n"/>
      <c r="E794" s="194" t="n"/>
    </row>
    <row r="795" ht="15.75" customHeight="1" s="1">
      <c r="A795" s="194" t="n"/>
      <c r="B795" s="126" t="n"/>
      <c r="C795" s="194" t="n"/>
      <c r="D795" s="194" t="n"/>
      <c r="E795" s="194" t="n"/>
    </row>
    <row r="796" ht="15.75" customHeight="1" s="1">
      <c r="A796" s="194" t="n"/>
      <c r="B796" s="126" t="n"/>
      <c r="C796" s="194" t="n"/>
      <c r="D796" s="194" t="n"/>
      <c r="E796" s="194" t="n"/>
    </row>
    <row r="797" ht="15.75" customHeight="1" s="1">
      <c r="A797" s="194" t="n"/>
      <c r="B797" s="126" t="n"/>
      <c r="C797" s="194" t="n"/>
      <c r="D797" s="194" t="n"/>
      <c r="E797" s="194" t="n"/>
    </row>
    <row r="798" ht="15.75" customHeight="1" s="1">
      <c r="A798" s="194" t="n"/>
      <c r="B798" s="126" t="n"/>
      <c r="C798" s="194" t="n"/>
      <c r="D798" s="194" t="n"/>
      <c r="E798" s="194" t="n"/>
    </row>
    <row r="799" ht="15.75" customHeight="1" s="1">
      <c r="A799" s="194" t="n"/>
      <c r="B799" s="126" t="n"/>
      <c r="C799" s="194" t="n"/>
      <c r="D799" s="194" t="n"/>
      <c r="E799" s="194" t="n"/>
    </row>
    <row r="800" ht="15.75" customHeight="1" s="1">
      <c r="A800" s="194" t="n"/>
      <c r="B800" s="126" t="n"/>
      <c r="C800" s="194" t="n"/>
      <c r="D800" s="194" t="n"/>
      <c r="E800" s="194" t="n"/>
    </row>
    <row r="801" ht="15.75" customHeight="1" s="1">
      <c r="A801" s="194" t="n"/>
      <c r="B801" s="126" t="n"/>
      <c r="C801" s="194" t="n"/>
      <c r="D801" s="194" t="n"/>
      <c r="E801" s="194" t="n"/>
    </row>
    <row r="802" ht="15.75" customHeight="1" s="1">
      <c r="A802" s="194" t="n"/>
      <c r="B802" s="126" t="n"/>
      <c r="C802" s="194" t="n"/>
      <c r="D802" s="194" t="n"/>
      <c r="E802" s="194" t="n"/>
    </row>
    <row r="803" ht="15.75" customHeight="1" s="1">
      <c r="A803" s="194" t="n"/>
      <c r="B803" s="126" t="n"/>
      <c r="C803" s="194" t="n"/>
      <c r="D803" s="194" t="n"/>
      <c r="E803" s="194" t="n"/>
    </row>
    <row r="804" ht="15.75" customHeight="1" s="1">
      <c r="A804" s="194" t="n"/>
      <c r="B804" s="126" t="n"/>
      <c r="C804" s="194" t="n"/>
      <c r="D804" s="194" t="n"/>
      <c r="E804" s="194" t="n"/>
    </row>
    <row r="805" ht="15.75" customHeight="1" s="1">
      <c r="A805" s="194" t="n"/>
      <c r="B805" s="126" t="n"/>
      <c r="C805" s="194" t="n"/>
      <c r="D805" s="194" t="n"/>
      <c r="E805" s="194" t="n"/>
    </row>
    <row r="806" ht="15.75" customHeight="1" s="1">
      <c r="A806" s="194" t="n"/>
      <c r="B806" s="126" t="n"/>
      <c r="C806" s="194" t="n"/>
      <c r="D806" s="194" t="n"/>
      <c r="E806" s="194" t="n"/>
    </row>
    <row r="807" ht="15.75" customHeight="1" s="1">
      <c r="A807" s="194" t="n"/>
      <c r="B807" s="126" t="n"/>
      <c r="C807" s="194" t="n"/>
      <c r="D807" s="194" t="n"/>
      <c r="E807" s="194" t="n"/>
    </row>
    <row r="808" ht="15.75" customHeight="1" s="1">
      <c r="A808" s="194" t="n"/>
      <c r="B808" s="126" t="n"/>
      <c r="C808" s="194" t="n"/>
      <c r="D808" s="194" t="n"/>
      <c r="E808" s="194" t="n"/>
    </row>
    <row r="809" ht="15.75" customHeight="1" s="1">
      <c r="A809" s="194" t="n"/>
      <c r="B809" s="126" t="n"/>
      <c r="C809" s="194" t="n"/>
      <c r="D809" s="194" t="n"/>
      <c r="E809" s="194" t="n"/>
    </row>
    <row r="810" ht="15.75" customHeight="1" s="1">
      <c r="A810" s="194" t="n"/>
      <c r="B810" s="126" t="n"/>
      <c r="C810" s="194" t="n"/>
      <c r="D810" s="194" t="n"/>
      <c r="E810" s="194" t="n"/>
    </row>
    <row r="811" ht="15.75" customHeight="1" s="1">
      <c r="A811" s="194" t="n"/>
      <c r="B811" s="126" t="n"/>
      <c r="C811" s="194" t="n"/>
      <c r="D811" s="194" t="n"/>
      <c r="E811" s="194" t="n"/>
    </row>
    <row r="812" ht="15.75" customHeight="1" s="1">
      <c r="A812" s="194" t="n"/>
      <c r="B812" s="126" t="n"/>
      <c r="C812" s="194" t="n"/>
      <c r="D812" s="194" t="n"/>
      <c r="E812" s="194" t="n"/>
    </row>
    <row r="813" ht="15.75" customHeight="1" s="1">
      <c r="A813" s="194" t="n"/>
      <c r="B813" s="126" t="n"/>
      <c r="C813" s="194" t="n"/>
      <c r="D813" s="194" t="n"/>
      <c r="E813" s="194" t="n"/>
    </row>
    <row r="814" ht="15.75" customHeight="1" s="1">
      <c r="A814" s="194" t="n"/>
      <c r="B814" s="126" t="n"/>
      <c r="C814" s="194" t="n"/>
      <c r="D814" s="194" t="n"/>
      <c r="E814" s="194" t="n"/>
    </row>
    <row r="815" ht="15.75" customHeight="1" s="1">
      <c r="A815" s="194" t="n"/>
      <c r="B815" s="126" t="n"/>
      <c r="C815" s="194" t="n"/>
      <c r="D815" s="194" t="n"/>
      <c r="E815" s="194" t="n"/>
    </row>
    <row r="816" ht="15.75" customHeight="1" s="1">
      <c r="A816" s="194" t="n"/>
      <c r="B816" s="126" t="n"/>
      <c r="C816" s="194" t="n"/>
      <c r="D816" s="194" t="n"/>
      <c r="E816" s="194" t="n"/>
    </row>
    <row r="817" ht="15.75" customHeight="1" s="1">
      <c r="A817" s="194" t="n"/>
      <c r="B817" s="126" t="n"/>
      <c r="C817" s="194" t="n"/>
      <c r="D817" s="194" t="n"/>
      <c r="E817" s="194" t="n"/>
    </row>
    <row r="818" ht="15.75" customHeight="1" s="1">
      <c r="A818" s="194" t="n"/>
      <c r="B818" s="126" t="n"/>
      <c r="C818" s="194" t="n"/>
      <c r="D818" s="194" t="n"/>
      <c r="E818" s="194" t="n"/>
    </row>
    <row r="819" ht="15.75" customHeight="1" s="1">
      <c r="A819" s="194" t="n"/>
      <c r="B819" s="126" t="n"/>
      <c r="C819" s="194" t="n"/>
      <c r="D819" s="194" t="n"/>
      <c r="E819" s="194" t="n"/>
    </row>
    <row r="820" ht="15.75" customHeight="1" s="1">
      <c r="A820" s="194" t="n"/>
      <c r="B820" s="126" t="n"/>
      <c r="C820" s="194" t="n"/>
      <c r="D820" s="194" t="n"/>
      <c r="E820" s="194" t="n"/>
    </row>
    <row r="821" ht="15.75" customHeight="1" s="1">
      <c r="A821" s="194" t="n"/>
      <c r="B821" s="126" t="n"/>
      <c r="C821" s="194" t="n"/>
      <c r="D821" s="194" t="n"/>
      <c r="E821" s="194" t="n"/>
    </row>
    <row r="822" ht="15.75" customHeight="1" s="1">
      <c r="A822" s="194" t="n"/>
      <c r="B822" s="126" t="n"/>
      <c r="C822" s="194" t="n"/>
      <c r="D822" s="194" t="n"/>
      <c r="E822" s="194" t="n"/>
    </row>
    <row r="823" ht="15.75" customHeight="1" s="1">
      <c r="A823" s="194" t="n"/>
      <c r="B823" s="126" t="n"/>
      <c r="C823" s="194" t="n"/>
      <c r="D823" s="194" t="n"/>
      <c r="E823" s="194" t="n"/>
    </row>
    <row r="824" ht="15.75" customHeight="1" s="1">
      <c r="A824" s="194" t="n"/>
      <c r="B824" s="126" t="n"/>
      <c r="C824" s="194" t="n"/>
      <c r="D824" s="194" t="n"/>
      <c r="E824" s="194" t="n"/>
    </row>
    <row r="825" ht="15.75" customHeight="1" s="1">
      <c r="A825" s="194" t="n"/>
      <c r="B825" s="126" t="n"/>
      <c r="C825" s="194" t="n"/>
      <c r="D825" s="194" t="n"/>
      <c r="E825" s="194" t="n"/>
    </row>
    <row r="826" ht="15.75" customHeight="1" s="1">
      <c r="A826" s="194" t="n"/>
      <c r="B826" s="126" t="n"/>
      <c r="C826" s="194" t="n"/>
      <c r="D826" s="194" t="n"/>
      <c r="E826" s="194" t="n"/>
    </row>
    <row r="827" ht="15.75" customHeight="1" s="1">
      <c r="A827" s="194" t="n"/>
      <c r="B827" s="126" t="n"/>
      <c r="C827" s="194" t="n"/>
      <c r="D827" s="194" t="n"/>
      <c r="E827" s="194" t="n"/>
    </row>
    <row r="828" ht="15.75" customHeight="1" s="1">
      <c r="A828" s="194" t="n"/>
      <c r="B828" s="126" t="n"/>
      <c r="C828" s="194" t="n"/>
      <c r="D828" s="194" t="n"/>
      <c r="E828" s="194" t="n"/>
    </row>
    <row r="829" ht="15.75" customHeight="1" s="1">
      <c r="A829" s="194" t="n"/>
      <c r="B829" s="126" t="n"/>
      <c r="C829" s="194" t="n"/>
      <c r="D829" s="194" t="n"/>
      <c r="E829" s="194" t="n"/>
    </row>
    <row r="830" ht="15.75" customHeight="1" s="1">
      <c r="A830" s="194" t="n"/>
      <c r="B830" s="126" t="n"/>
      <c r="C830" s="194" t="n"/>
      <c r="D830" s="194" t="n"/>
      <c r="E830" s="194" t="n"/>
    </row>
    <row r="831" ht="15.75" customHeight="1" s="1">
      <c r="A831" s="194" t="n"/>
      <c r="B831" s="126" t="n"/>
      <c r="C831" s="194" t="n"/>
      <c r="D831" s="194" t="n"/>
      <c r="E831" s="194" t="n"/>
    </row>
    <row r="832" ht="15.75" customHeight="1" s="1">
      <c r="A832" s="194" t="n"/>
      <c r="B832" s="126" t="n"/>
      <c r="C832" s="194" t="n"/>
      <c r="D832" s="194" t="n"/>
      <c r="E832" s="194" t="n"/>
    </row>
    <row r="833" ht="15.75" customHeight="1" s="1">
      <c r="A833" s="194" t="n"/>
      <c r="B833" s="126" t="n"/>
      <c r="C833" s="194" t="n"/>
      <c r="D833" s="194" t="n"/>
      <c r="E833" s="194" t="n"/>
    </row>
    <row r="834" ht="15.75" customHeight="1" s="1">
      <c r="A834" s="194" t="n"/>
      <c r="B834" s="126" t="n"/>
      <c r="C834" s="194" t="n"/>
      <c r="D834" s="194" t="n"/>
      <c r="E834" s="194" t="n"/>
    </row>
    <row r="835" ht="15.75" customHeight="1" s="1">
      <c r="A835" s="194" t="n"/>
      <c r="B835" s="126" t="n"/>
      <c r="C835" s="194" t="n"/>
      <c r="D835" s="194" t="n"/>
      <c r="E835" s="194" t="n"/>
    </row>
    <row r="836" ht="15.75" customHeight="1" s="1">
      <c r="A836" s="194" t="n"/>
      <c r="B836" s="126" t="n"/>
      <c r="C836" s="194" t="n"/>
      <c r="D836" s="194" t="n"/>
      <c r="E836" s="194" t="n"/>
    </row>
    <row r="837" ht="15.75" customHeight="1" s="1">
      <c r="A837" s="194" t="n"/>
      <c r="B837" s="126" t="n"/>
      <c r="C837" s="194" t="n"/>
      <c r="D837" s="194" t="n"/>
      <c r="E837" s="194" t="n"/>
    </row>
    <row r="838" ht="15.75" customHeight="1" s="1">
      <c r="A838" s="194" t="n"/>
      <c r="B838" s="126" t="n"/>
      <c r="C838" s="194" t="n"/>
      <c r="D838" s="194" t="n"/>
      <c r="E838" s="194" t="n"/>
    </row>
    <row r="839" ht="15.75" customHeight="1" s="1">
      <c r="A839" s="194" t="n"/>
      <c r="B839" s="126" t="n"/>
      <c r="C839" s="194" t="n"/>
      <c r="D839" s="194" t="n"/>
      <c r="E839" s="194" t="n"/>
    </row>
    <row r="840" ht="15.75" customHeight="1" s="1">
      <c r="A840" s="194" t="n"/>
      <c r="B840" s="126" t="n"/>
      <c r="C840" s="194" t="n"/>
      <c r="D840" s="194" t="n"/>
      <c r="E840" s="194" t="n"/>
    </row>
    <row r="841" ht="15.75" customHeight="1" s="1">
      <c r="A841" s="194" t="n"/>
      <c r="B841" s="126" t="n"/>
      <c r="C841" s="194" t="n"/>
      <c r="D841" s="194" t="n"/>
      <c r="E841" s="194" t="n"/>
    </row>
    <row r="842" ht="15.75" customHeight="1" s="1">
      <c r="A842" s="194" t="n"/>
      <c r="B842" s="126" t="n"/>
      <c r="C842" s="194" t="n"/>
      <c r="D842" s="194" t="n"/>
      <c r="E842" s="194" t="n"/>
    </row>
    <row r="843" ht="15.75" customHeight="1" s="1">
      <c r="A843" s="194" t="n"/>
      <c r="B843" s="126" t="n"/>
      <c r="C843" s="194" t="n"/>
      <c r="D843" s="194" t="n"/>
      <c r="E843" s="194" t="n"/>
    </row>
    <row r="844" ht="15.75" customHeight="1" s="1">
      <c r="A844" s="194" t="n"/>
      <c r="B844" s="126" t="n"/>
      <c r="C844" s="194" t="n"/>
      <c r="D844" s="194" t="n"/>
      <c r="E844" s="194" t="n"/>
    </row>
    <row r="845" ht="15.75" customHeight="1" s="1">
      <c r="A845" s="194" t="n"/>
      <c r="B845" s="126" t="n"/>
      <c r="C845" s="194" t="n"/>
      <c r="D845" s="194" t="n"/>
      <c r="E845" s="194" t="n"/>
    </row>
    <row r="846" ht="15.75" customHeight="1" s="1">
      <c r="A846" s="194" t="n"/>
      <c r="B846" s="126" t="n"/>
      <c r="C846" s="194" t="n"/>
      <c r="D846" s="194" t="n"/>
      <c r="E846" s="194" t="n"/>
    </row>
    <row r="847" ht="15.75" customHeight="1" s="1">
      <c r="A847" s="194" t="n"/>
      <c r="B847" s="126" t="n"/>
      <c r="C847" s="194" t="n"/>
      <c r="D847" s="194" t="n"/>
      <c r="E847" s="194" t="n"/>
    </row>
    <row r="848" ht="15.75" customHeight="1" s="1">
      <c r="A848" s="194" t="n"/>
      <c r="B848" s="126" t="n"/>
      <c r="C848" s="194" t="n"/>
      <c r="D848" s="194" t="n"/>
      <c r="E848" s="194" t="n"/>
    </row>
    <row r="849" ht="15.75" customHeight="1" s="1">
      <c r="A849" s="194" t="n"/>
      <c r="B849" s="126" t="n"/>
      <c r="C849" s="194" t="n"/>
      <c r="D849" s="194" t="n"/>
      <c r="E849" s="194" t="n"/>
    </row>
    <row r="850" ht="15.75" customHeight="1" s="1">
      <c r="A850" s="194" t="n"/>
      <c r="B850" s="126" t="n"/>
      <c r="C850" s="194" t="n"/>
      <c r="D850" s="194" t="n"/>
      <c r="E850" s="194" t="n"/>
    </row>
    <row r="851" ht="15.75" customHeight="1" s="1">
      <c r="A851" s="194" t="n"/>
      <c r="B851" s="126" t="n"/>
      <c r="C851" s="194" t="n"/>
      <c r="D851" s="194" t="n"/>
      <c r="E851" s="194" t="n"/>
    </row>
    <row r="852" ht="15.75" customHeight="1" s="1">
      <c r="A852" s="194" t="n"/>
      <c r="B852" s="126" t="n"/>
      <c r="C852" s="194" t="n"/>
      <c r="D852" s="194" t="n"/>
      <c r="E852" s="194" t="n"/>
    </row>
    <row r="853" ht="15.75" customHeight="1" s="1">
      <c r="A853" s="194" t="n"/>
      <c r="B853" s="126" t="n"/>
      <c r="C853" s="194" t="n"/>
      <c r="D853" s="194" t="n"/>
      <c r="E853" s="194" t="n"/>
    </row>
    <row r="854" ht="15.75" customHeight="1" s="1">
      <c r="A854" s="194" t="n"/>
      <c r="B854" s="126" t="n"/>
      <c r="C854" s="194" t="n"/>
      <c r="D854" s="194" t="n"/>
      <c r="E854" s="194" t="n"/>
    </row>
    <row r="855" ht="15.75" customHeight="1" s="1">
      <c r="A855" s="194" t="n"/>
      <c r="B855" s="126" t="n"/>
      <c r="C855" s="194" t="n"/>
      <c r="D855" s="194" t="n"/>
      <c r="E855" s="194" t="n"/>
    </row>
    <row r="856" ht="15.75" customHeight="1" s="1">
      <c r="A856" s="194" t="n"/>
      <c r="B856" s="126" t="n"/>
      <c r="C856" s="194" t="n"/>
      <c r="D856" s="194" t="n"/>
      <c r="E856" s="194" t="n"/>
    </row>
    <row r="857" ht="15.75" customHeight="1" s="1">
      <c r="A857" s="194" t="n"/>
      <c r="B857" s="126" t="n"/>
      <c r="C857" s="194" t="n"/>
      <c r="D857" s="194" t="n"/>
      <c r="E857" s="194" t="n"/>
    </row>
    <row r="858" ht="15.75" customHeight="1" s="1">
      <c r="A858" s="194" t="n"/>
      <c r="B858" s="126" t="n"/>
      <c r="C858" s="194" t="n"/>
      <c r="D858" s="194" t="n"/>
      <c r="E858" s="194" t="n"/>
    </row>
    <row r="859" ht="15.75" customHeight="1" s="1">
      <c r="A859" s="194" t="n"/>
      <c r="B859" s="126" t="n"/>
      <c r="C859" s="194" t="n"/>
      <c r="D859" s="194" t="n"/>
      <c r="E859" s="194" t="n"/>
    </row>
    <row r="860" ht="15.75" customHeight="1" s="1">
      <c r="A860" s="194" t="n"/>
      <c r="B860" s="126" t="n"/>
      <c r="C860" s="194" t="n"/>
      <c r="D860" s="194" t="n"/>
      <c r="E860" s="194" t="n"/>
    </row>
    <row r="861" ht="15.75" customHeight="1" s="1">
      <c r="A861" s="194" t="n"/>
      <c r="B861" s="126" t="n"/>
      <c r="C861" s="194" t="n"/>
      <c r="D861" s="194" t="n"/>
      <c r="E861" s="194" t="n"/>
    </row>
    <row r="862" ht="15.75" customHeight="1" s="1">
      <c r="A862" s="194" t="n"/>
      <c r="B862" s="126" t="n"/>
      <c r="C862" s="194" t="n"/>
      <c r="D862" s="194" t="n"/>
      <c r="E862" s="194" t="n"/>
    </row>
    <row r="863" ht="15.75" customHeight="1" s="1">
      <c r="A863" s="194" t="n"/>
      <c r="B863" s="126" t="n"/>
      <c r="C863" s="194" t="n"/>
      <c r="D863" s="194" t="n"/>
      <c r="E863" s="194" t="n"/>
    </row>
    <row r="864" ht="15.75" customHeight="1" s="1">
      <c r="A864" s="194" t="n"/>
      <c r="B864" s="126" t="n"/>
      <c r="C864" s="194" t="n"/>
      <c r="D864" s="194" t="n"/>
      <c r="E864" s="194" t="n"/>
    </row>
    <row r="865" ht="15.75" customHeight="1" s="1">
      <c r="A865" s="194" t="n"/>
      <c r="B865" s="126" t="n"/>
      <c r="C865" s="194" t="n"/>
      <c r="D865" s="194" t="n"/>
      <c r="E865" s="194" t="n"/>
    </row>
    <row r="866" ht="15.75" customHeight="1" s="1">
      <c r="A866" s="194" t="n"/>
      <c r="B866" s="126" t="n"/>
      <c r="C866" s="194" t="n"/>
      <c r="D866" s="194" t="n"/>
      <c r="E866" s="194" t="n"/>
    </row>
    <row r="867" ht="15.75" customHeight="1" s="1">
      <c r="A867" s="194" t="n"/>
      <c r="B867" s="126" t="n"/>
      <c r="C867" s="194" t="n"/>
      <c r="D867" s="194" t="n"/>
      <c r="E867" s="194" t="n"/>
    </row>
    <row r="868" ht="15.75" customHeight="1" s="1">
      <c r="A868" s="194" t="n"/>
      <c r="B868" s="126" t="n"/>
      <c r="C868" s="194" t="n"/>
      <c r="D868" s="194" t="n"/>
      <c r="E868" s="194" t="n"/>
    </row>
    <row r="869" ht="15.75" customHeight="1" s="1">
      <c r="A869" s="194" t="n"/>
      <c r="B869" s="126" t="n"/>
      <c r="C869" s="194" t="n"/>
      <c r="D869" s="194" t="n"/>
      <c r="E869" s="194" t="n"/>
    </row>
    <row r="870" ht="15.75" customHeight="1" s="1">
      <c r="A870" s="194" t="n"/>
      <c r="B870" s="126" t="n"/>
      <c r="C870" s="194" t="n"/>
      <c r="D870" s="194" t="n"/>
      <c r="E870" s="194" t="n"/>
    </row>
    <row r="871" ht="15.75" customHeight="1" s="1">
      <c r="A871" s="194" t="n"/>
      <c r="B871" s="126" t="n"/>
      <c r="C871" s="194" t="n"/>
      <c r="D871" s="194" t="n"/>
      <c r="E871" s="194" t="n"/>
    </row>
    <row r="872" ht="15.75" customHeight="1" s="1">
      <c r="A872" s="194" t="n"/>
      <c r="B872" s="126" t="n"/>
      <c r="C872" s="194" t="n"/>
      <c r="D872" s="194" t="n"/>
      <c r="E872" s="194" t="n"/>
    </row>
    <row r="873" ht="15.75" customHeight="1" s="1">
      <c r="A873" s="194" t="n"/>
      <c r="B873" s="126" t="n"/>
      <c r="C873" s="194" t="n"/>
      <c r="D873" s="194" t="n"/>
      <c r="E873" s="194" t="n"/>
    </row>
    <row r="874" ht="15.75" customHeight="1" s="1">
      <c r="A874" s="194" t="n"/>
      <c r="B874" s="126" t="n"/>
      <c r="C874" s="194" t="n"/>
      <c r="D874" s="194" t="n"/>
      <c r="E874" s="194" t="n"/>
    </row>
    <row r="875" ht="15.75" customHeight="1" s="1">
      <c r="A875" s="194" t="n"/>
      <c r="B875" s="126" t="n"/>
      <c r="C875" s="194" t="n"/>
      <c r="D875" s="194" t="n"/>
      <c r="E875" s="194" t="n"/>
    </row>
    <row r="876" ht="15.75" customHeight="1" s="1">
      <c r="A876" s="194" t="n"/>
      <c r="B876" s="126" t="n"/>
      <c r="C876" s="194" t="n"/>
      <c r="D876" s="194" t="n"/>
      <c r="E876" s="194" t="n"/>
    </row>
    <row r="877" ht="15.75" customHeight="1" s="1">
      <c r="A877" s="194" t="n"/>
      <c r="B877" s="126" t="n"/>
      <c r="C877" s="194" t="n"/>
      <c r="D877" s="194" t="n"/>
      <c r="E877" s="194" t="n"/>
    </row>
    <row r="878" ht="15.75" customHeight="1" s="1">
      <c r="A878" s="194" t="n"/>
      <c r="B878" s="126" t="n"/>
      <c r="C878" s="194" t="n"/>
      <c r="D878" s="194" t="n"/>
      <c r="E878" s="194" t="n"/>
    </row>
    <row r="879" ht="15.75" customHeight="1" s="1">
      <c r="A879" s="194" t="n"/>
      <c r="B879" s="126" t="n"/>
      <c r="C879" s="194" t="n"/>
      <c r="D879" s="194" t="n"/>
      <c r="E879" s="194" t="n"/>
    </row>
    <row r="880" ht="15.75" customHeight="1" s="1">
      <c r="A880" s="194" t="n"/>
      <c r="B880" s="126" t="n"/>
      <c r="C880" s="194" t="n"/>
      <c r="D880" s="194" t="n"/>
      <c r="E880" s="194" t="n"/>
    </row>
    <row r="881" ht="15.75" customHeight="1" s="1">
      <c r="A881" s="194" t="n"/>
      <c r="B881" s="126" t="n"/>
      <c r="C881" s="194" t="n"/>
      <c r="D881" s="194" t="n"/>
      <c r="E881" s="194" t="n"/>
    </row>
    <row r="882" ht="15.75" customHeight="1" s="1">
      <c r="A882" s="194" t="n"/>
      <c r="B882" s="126" t="n"/>
      <c r="C882" s="194" t="n"/>
      <c r="D882" s="194" t="n"/>
      <c r="E882" s="194" t="n"/>
    </row>
    <row r="883" ht="15.75" customHeight="1" s="1">
      <c r="A883" s="194" t="n"/>
      <c r="B883" s="126" t="n"/>
      <c r="C883" s="194" t="n"/>
      <c r="D883" s="194" t="n"/>
      <c r="E883" s="194" t="n"/>
    </row>
    <row r="884" ht="15.75" customHeight="1" s="1">
      <c r="A884" s="194" t="n"/>
      <c r="B884" s="126" t="n"/>
      <c r="C884" s="194" t="n"/>
      <c r="D884" s="194" t="n"/>
      <c r="E884" s="194" t="n"/>
    </row>
    <row r="885" ht="15.75" customHeight="1" s="1">
      <c r="A885" s="194" t="n"/>
      <c r="B885" s="126" t="n"/>
      <c r="C885" s="194" t="n"/>
      <c r="D885" s="194" t="n"/>
      <c r="E885" s="194" t="n"/>
    </row>
    <row r="886" ht="15.75" customHeight="1" s="1">
      <c r="A886" s="194" t="n"/>
      <c r="B886" s="126" t="n"/>
      <c r="C886" s="194" t="n"/>
      <c r="D886" s="194" t="n"/>
      <c r="E886" s="194" t="n"/>
    </row>
    <row r="887" ht="15.75" customHeight="1" s="1">
      <c r="A887" s="194" t="n"/>
      <c r="B887" s="126" t="n"/>
      <c r="C887" s="194" t="n"/>
      <c r="D887" s="194" t="n"/>
      <c r="E887" s="194" t="n"/>
    </row>
    <row r="888" ht="15.75" customHeight="1" s="1">
      <c r="A888" s="194" t="n"/>
      <c r="B888" s="126" t="n"/>
      <c r="C888" s="194" t="n"/>
      <c r="D888" s="194" t="n"/>
      <c r="E888" s="194" t="n"/>
    </row>
    <row r="889" ht="15.75" customHeight="1" s="1">
      <c r="A889" s="194" t="n"/>
      <c r="B889" s="126" t="n"/>
      <c r="C889" s="194" t="n"/>
      <c r="D889" s="194" t="n"/>
      <c r="E889" s="194" t="n"/>
    </row>
    <row r="890" ht="15.75" customHeight="1" s="1">
      <c r="A890" s="194" t="n"/>
      <c r="B890" s="126" t="n"/>
      <c r="C890" s="194" t="n"/>
      <c r="D890" s="194" t="n"/>
      <c r="E890" s="194" t="n"/>
    </row>
    <row r="891" ht="15.75" customHeight="1" s="1">
      <c r="A891" s="194" t="n"/>
      <c r="B891" s="126" t="n"/>
      <c r="C891" s="194" t="n"/>
      <c r="D891" s="194" t="n"/>
      <c r="E891" s="194" t="n"/>
    </row>
    <row r="892" ht="15.75" customHeight="1" s="1">
      <c r="A892" s="194" t="n"/>
      <c r="B892" s="126" t="n"/>
      <c r="C892" s="194" t="n"/>
      <c r="D892" s="194" t="n"/>
      <c r="E892" s="194" t="n"/>
    </row>
    <row r="893" ht="15.75" customHeight="1" s="1">
      <c r="A893" s="194" t="n"/>
      <c r="B893" s="126" t="n"/>
      <c r="C893" s="194" t="n"/>
      <c r="D893" s="194" t="n"/>
      <c r="E893" s="194" t="n"/>
    </row>
    <row r="894" ht="15.75" customHeight="1" s="1">
      <c r="A894" s="194" t="n"/>
      <c r="B894" s="126" t="n"/>
      <c r="C894" s="194" t="n"/>
      <c r="D894" s="194" t="n"/>
      <c r="E894" s="194" t="n"/>
    </row>
    <row r="895" ht="15.75" customHeight="1" s="1">
      <c r="A895" s="194" t="n"/>
      <c r="B895" s="126" t="n"/>
      <c r="C895" s="194" t="n"/>
      <c r="D895" s="194" t="n"/>
      <c r="E895" s="194" t="n"/>
    </row>
    <row r="896" ht="15.75" customHeight="1" s="1">
      <c r="A896" s="194" t="n"/>
      <c r="B896" s="126" t="n"/>
      <c r="C896" s="194" t="n"/>
      <c r="D896" s="194" t="n"/>
      <c r="E896" s="194" t="n"/>
    </row>
    <row r="897" ht="15.75" customHeight="1" s="1">
      <c r="A897" s="194" t="n"/>
      <c r="B897" s="126" t="n"/>
      <c r="C897" s="194" t="n"/>
      <c r="D897" s="194" t="n"/>
      <c r="E897" s="194" t="n"/>
    </row>
    <row r="898" ht="15.75" customHeight="1" s="1">
      <c r="A898" s="194" t="n"/>
      <c r="B898" s="126" t="n"/>
      <c r="C898" s="194" t="n"/>
      <c r="D898" s="194" t="n"/>
      <c r="E898" s="194" t="n"/>
    </row>
    <row r="899" ht="15.75" customHeight="1" s="1">
      <c r="A899" s="194" t="n"/>
      <c r="B899" s="126" t="n"/>
      <c r="C899" s="194" t="n"/>
      <c r="D899" s="194" t="n"/>
      <c r="E899" s="194" t="n"/>
    </row>
    <row r="900" ht="15.75" customHeight="1" s="1">
      <c r="A900" s="194" t="n"/>
      <c r="B900" s="126" t="n"/>
      <c r="C900" s="194" t="n"/>
      <c r="D900" s="194" t="n"/>
      <c r="E900" s="194" t="n"/>
    </row>
    <row r="901" ht="15.75" customHeight="1" s="1">
      <c r="A901" s="194" t="n"/>
      <c r="B901" s="126" t="n"/>
      <c r="C901" s="194" t="n"/>
      <c r="D901" s="194" t="n"/>
      <c r="E901" s="194" t="n"/>
    </row>
    <row r="902" ht="15.75" customHeight="1" s="1">
      <c r="A902" s="194" t="n"/>
      <c r="B902" s="126" t="n"/>
      <c r="C902" s="194" t="n"/>
      <c r="D902" s="194" t="n"/>
      <c r="E902" s="194" t="n"/>
    </row>
    <row r="903" ht="15.75" customHeight="1" s="1">
      <c r="A903" s="194" t="n"/>
      <c r="B903" s="126" t="n"/>
      <c r="C903" s="194" t="n"/>
      <c r="D903" s="194" t="n"/>
      <c r="E903" s="194" t="n"/>
    </row>
    <row r="904" ht="15.75" customHeight="1" s="1">
      <c r="A904" s="194" t="n"/>
      <c r="B904" s="126" t="n"/>
      <c r="C904" s="194" t="n"/>
      <c r="D904" s="194" t="n"/>
      <c r="E904" s="194" t="n"/>
    </row>
    <row r="905" ht="15.75" customHeight="1" s="1">
      <c r="A905" s="194" t="n"/>
      <c r="B905" s="126" t="n"/>
      <c r="C905" s="194" t="n"/>
      <c r="D905" s="194" t="n"/>
      <c r="E905" s="194" t="n"/>
    </row>
    <row r="906" ht="15.75" customHeight="1" s="1">
      <c r="A906" s="194" t="n"/>
      <c r="B906" s="126" t="n"/>
      <c r="C906" s="194" t="n"/>
      <c r="D906" s="194" t="n"/>
      <c r="E906" s="194" t="n"/>
    </row>
    <row r="907" ht="15.75" customHeight="1" s="1">
      <c r="A907" s="194" t="n"/>
      <c r="B907" s="126" t="n"/>
      <c r="C907" s="194" t="n"/>
      <c r="D907" s="194" t="n"/>
      <c r="E907" s="194" t="n"/>
    </row>
    <row r="908" ht="15.75" customHeight="1" s="1">
      <c r="A908" s="194" t="n"/>
      <c r="B908" s="126" t="n"/>
      <c r="C908" s="194" t="n"/>
      <c r="D908" s="194" t="n"/>
      <c r="E908" s="194" t="n"/>
    </row>
    <row r="909" ht="15.75" customHeight="1" s="1">
      <c r="A909" s="194" t="n"/>
      <c r="B909" s="126" t="n"/>
      <c r="C909" s="194" t="n"/>
      <c r="D909" s="194" t="n"/>
      <c r="E909" s="194" t="n"/>
    </row>
    <row r="910" ht="15.75" customHeight="1" s="1">
      <c r="A910" s="194" t="n"/>
      <c r="B910" s="126" t="n"/>
      <c r="C910" s="194" t="n"/>
      <c r="D910" s="194" t="n"/>
      <c r="E910" s="194" t="n"/>
    </row>
    <row r="911" ht="15.75" customHeight="1" s="1">
      <c r="A911" s="194" t="n"/>
      <c r="B911" s="126" t="n"/>
      <c r="C911" s="194" t="n"/>
      <c r="D911" s="194" t="n"/>
      <c r="E911" s="194" t="n"/>
    </row>
    <row r="912" ht="15.75" customHeight="1" s="1">
      <c r="A912" s="194" t="n"/>
      <c r="B912" s="126" t="n"/>
      <c r="C912" s="194" t="n"/>
      <c r="D912" s="194" t="n"/>
      <c r="E912" s="194" t="n"/>
    </row>
    <row r="913" ht="15.75" customHeight="1" s="1">
      <c r="A913" s="194" t="n"/>
      <c r="B913" s="126" t="n"/>
      <c r="C913" s="194" t="n"/>
      <c r="D913" s="194" t="n"/>
      <c r="E913" s="194" t="n"/>
    </row>
    <row r="914" ht="15.75" customHeight="1" s="1">
      <c r="A914" s="194" t="n"/>
      <c r="B914" s="126" t="n"/>
      <c r="C914" s="194" t="n"/>
      <c r="D914" s="194" t="n"/>
      <c r="E914" s="194" t="n"/>
    </row>
    <row r="915" ht="15.75" customHeight="1" s="1">
      <c r="A915" s="194" t="n"/>
      <c r="B915" s="126" t="n"/>
      <c r="C915" s="194" t="n"/>
      <c r="D915" s="194" t="n"/>
      <c r="E915" s="194" t="n"/>
    </row>
    <row r="916" ht="15.75" customHeight="1" s="1">
      <c r="A916" s="194" t="n"/>
      <c r="B916" s="126" t="n"/>
      <c r="C916" s="194" t="n"/>
      <c r="D916" s="194" t="n"/>
      <c r="E916" s="194" t="n"/>
    </row>
    <row r="917" ht="15.75" customHeight="1" s="1">
      <c r="A917" s="194" t="n"/>
      <c r="B917" s="126" t="n"/>
      <c r="C917" s="194" t="n"/>
      <c r="D917" s="194" t="n"/>
      <c r="E917" s="194" t="n"/>
    </row>
    <row r="918" ht="15.75" customHeight="1" s="1">
      <c r="A918" s="194" t="n"/>
      <c r="B918" s="126" t="n"/>
      <c r="C918" s="194" t="n"/>
      <c r="D918" s="194" t="n"/>
      <c r="E918" s="194" t="n"/>
    </row>
    <row r="919" ht="15.75" customHeight="1" s="1">
      <c r="A919" s="194" t="n"/>
      <c r="B919" s="126" t="n"/>
      <c r="C919" s="194" t="n"/>
      <c r="D919" s="194" t="n"/>
      <c r="E919" s="194" t="n"/>
    </row>
    <row r="920" ht="15.75" customHeight="1" s="1">
      <c r="A920" s="194" t="n"/>
      <c r="B920" s="126" t="n"/>
      <c r="C920" s="194" t="n"/>
      <c r="D920" s="194" t="n"/>
      <c r="E920" s="194" t="n"/>
    </row>
    <row r="921" ht="15.75" customHeight="1" s="1">
      <c r="A921" s="194" t="n"/>
      <c r="B921" s="126" t="n"/>
      <c r="C921" s="194" t="n"/>
      <c r="D921" s="194" t="n"/>
      <c r="E921" s="194" t="n"/>
    </row>
    <row r="922" ht="15.75" customHeight="1" s="1">
      <c r="A922" s="194" t="n"/>
      <c r="B922" s="126" t="n"/>
      <c r="C922" s="194" t="n"/>
      <c r="D922" s="194" t="n"/>
      <c r="E922" s="194" t="n"/>
    </row>
    <row r="923" ht="15.75" customHeight="1" s="1">
      <c r="A923" s="194" t="n"/>
      <c r="B923" s="126" t="n"/>
      <c r="C923" s="194" t="n"/>
      <c r="D923" s="194" t="n"/>
      <c r="E923" s="194" t="n"/>
    </row>
    <row r="924" ht="15.75" customHeight="1" s="1">
      <c r="A924" s="194" t="n"/>
      <c r="B924" s="126" t="n"/>
      <c r="C924" s="194" t="n"/>
      <c r="D924" s="194" t="n"/>
      <c r="E924" s="194" t="n"/>
    </row>
    <row r="925" ht="15.75" customHeight="1" s="1">
      <c r="A925" s="194" t="n"/>
      <c r="B925" s="126" t="n"/>
      <c r="C925" s="194" t="n"/>
      <c r="D925" s="194" t="n"/>
      <c r="E925" s="194" t="n"/>
    </row>
    <row r="926" ht="15.75" customHeight="1" s="1">
      <c r="A926" s="194" t="n"/>
      <c r="B926" s="126" t="n"/>
      <c r="C926" s="194" t="n"/>
      <c r="D926" s="194" t="n"/>
      <c r="E926" s="194" t="n"/>
    </row>
    <row r="927" ht="15.75" customHeight="1" s="1">
      <c r="A927" s="194" t="n"/>
      <c r="B927" s="126" t="n"/>
      <c r="C927" s="194" t="n"/>
      <c r="D927" s="194" t="n"/>
      <c r="E927" s="194" t="n"/>
    </row>
    <row r="928" ht="15.75" customHeight="1" s="1">
      <c r="A928" s="194" t="n"/>
      <c r="B928" s="126" t="n"/>
      <c r="C928" s="194" t="n"/>
      <c r="D928" s="194" t="n"/>
      <c r="E928" s="194" t="n"/>
    </row>
    <row r="929" ht="15.75" customHeight="1" s="1">
      <c r="A929" s="194" t="n"/>
      <c r="B929" s="126" t="n"/>
      <c r="C929" s="194" t="n"/>
      <c r="D929" s="194" t="n"/>
      <c r="E929" s="194" t="n"/>
    </row>
    <row r="930" ht="15.75" customHeight="1" s="1">
      <c r="A930" s="194" t="n"/>
      <c r="B930" s="126" t="n"/>
      <c r="C930" s="194" t="n"/>
      <c r="D930" s="194" t="n"/>
      <c r="E930" s="194" t="n"/>
    </row>
    <row r="931" ht="15.75" customHeight="1" s="1">
      <c r="A931" s="194" t="n"/>
      <c r="B931" s="126" t="n"/>
      <c r="C931" s="194" t="n"/>
      <c r="D931" s="194" t="n"/>
      <c r="E931" s="194" t="n"/>
    </row>
    <row r="932" ht="15.75" customHeight="1" s="1">
      <c r="A932" s="194" t="n"/>
      <c r="B932" s="126" t="n"/>
      <c r="C932" s="194" t="n"/>
      <c r="D932" s="194" t="n"/>
      <c r="E932" s="194" t="n"/>
    </row>
    <row r="933" ht="15.75" customHeight="1" s="1">
      <c r="A933" s="194" t="n"/>
      <c r="B933" s="126" t="n"/>
      <c r="C933" s="194" t="n"/>
      <c r="D933" s="194" t="n"/>
      <c r="E933" s="194" t="n"/>
    </row>
    <row r="934" ht="15.75" customHeight="1" s="1">
      <c r="A934" s="194" t="n"/>
      <c r="B934" s="126" t="n"/>
      <c r="C934" s="194" t="n"/>
      <c r="D934" s="194" t="n"/>
      <c r="E934" s="194" t="n"/>
    </row>
    <row r="935" ht="15.75" customHeight="1" s="1">
      <c r="A935" s="194" t="n"/>
      <c r="B935" s="126" t="n"/>
      <c r="C935" s="194" t="n"/>
      <c r="D935" s="194" t="n"/>
      <c r="E935" s="194" t="n"/>
    </row>
    <row r="936" ht="15.75" customHeight="1" s="1">
      <c r="A936" s="194" t="n"/>
      <c r="B936" s="126" t="n"/>
      <c r="C936" s="194" t="n"/>
      <c r="D936" s="194" t="n"/>
      <c r="E936" s="194" t="n"/>
    </row>
    <row r="937" ht="15.75" customHeight="1" s="1">
      <c r="A937" s="194" t="n"/>
      <c r="B937" s="126" t="n"/>
      <c r="C937" s="194" t="n"/>
      <c r="D937" s="194" t="n"/>
      <c r="E937" s="194" t="n"/>
    </row>
    <row r="938" ht="15.75" customHeight="1" s="1">
      <c r="A938" s="194" t="n"/>
      <c r="B938" s="126" t="n"/>
      <c r="C938" s="194" t="n"/>
      <c r="D938" s="194" t="n"/>
      <c r="E938" s="194" t="n"/>
    </row>
    <row r="939" ht="15.75" customHeight="1" s="1">
      <c r="A939" s="194" t="n"/>
      <c r="B939" s="126" t="n"/>
      <c r="C939" s="194" t="n"/>
      <c r="D939" s="194" t="n"/>
      <c r="E939" s="194" t="n"/>
    </row>
    <row r="940" ht="15.75" customHeight="1" s="1">
      <c r="A940" s="194" t="n"/>
      <c r="B940" s="126" t="n"/>
      <c r="C940" s="194" t="n"/>
      <c r="D940" s="194" t="n"/>
      <c r="E940" s="194" t="n"/>
    </row>
    <row r="941" ht="15.75" customHeight="1" s="1">
      <c r="A941" s="194" t="n"/>
      <c r="B941" s="126" t="n"/>
      <c r="C941" s="194" t="n"/>
      <c r="D941" s="194" t="n"/>
      <c r="E941" s="194" t="n"/>
    </row>
    <row r="942" ht="15.75" customHeight="1" s="1">
      <c r="A942" s="194" t="n"/>
      <c r="B942" s="126" t="n"/>
      <c r="C942" s="194" t="n"/>
      <c r="D942" s="194" t="n"/>
      <c r="E942" s="194" t="n"/>
    </row>
    <row r="943" ht="15.75" customHeight="1" s="1">
      <c r="A943" s="194" t="n"/>
      <c r="B943" s="126" t="n"/>
      <c r="C943" s="194" t="n"/>
      <c r="D943" s="194" t="n"/>
      <c r="E943" s="194" t="n"/>
    </row>
    <row r="944" ht="15.75" customHeight="1" s="1">
      <c r="A944" s="194" t="n"/>
      <c r="B944" s="126" t="n"/>
      <c r="C944" s="194" t="n"/>
      <c r="D944" s="194" t="n"/>
      <c r="E944" s="194" t="n"/>
    </row>
    <row r="945" ht="15.75" customHeight="1" s="1">
      <c r="A945" s="194" t="n"/>
      <c r="B945" s="126" t="n"/>
      <c r="C945" s="194" t="n"/>
      <c r="D945" s="194" t="n"/>
      <c r="E945" s="194" t="n"/>
    </row>
    <row r="946" ht="15.75" customHeight="1" s="1">
      <c r="A946" s="194" t="n"/>
      <c r="B946" s="126" t="n"/>
      <c r="C946" s="194" t="n"/>
      <c r="D946" s="194" t="n"/>
      <c r="E946" s="194" t="n"/>
    </row>
    <row r="947" ht="15.75" customHeight="1" s="1">
      <c r="A947" s="194" t="n"/>
      <c r="B947" s="126" t="n"/>
      <c r="C947" s="194" t="n"/>
      <c r="D947" s="194" t="n"/>
      <c r="E947" s="194" t="n"/>
    </row>
    <row r="948" ht="15.75" customHeight="1" s="1">
      <c r="A948" s="194" t="n"/>
      <c r="B948" s="126" t="n"/>
      <c r="C948" s="194" t="n"/>
      <c r="D948" s="194" t="n"/>
      <c r="E948" s="194" t="n"/>
    </row>
    <row r="949" ht="15.75" customHeight="1" s="1">
      <c r="A949" s="194" t="n"/>
      <c r="B949" s="126" t="n"/>
      <c r="C949" s="194" t="n"/>
      <c r="D949" s="194" t="n"/>
      <c r="E949" s="194" t="n"/>
    </row>
    <row r="950" ht="15.75" customHeight="1" s="1">
      <c r="A950" s="194" t="n"/>
      <c r="B950" s="126" t="n"/>
      <c r="C950" s="194" t="n"/>
      <c r="D950" s="194" t="n"/>
      <c r="E950" s="194" t="n"/>
    </row>
    <row r="951" ht="15.75" customHeight="1" s="1">
      <c r="A951" s="194" t="n"/>
      <c r="B951" s="126" t="n"/>
      <c r="C951" s="194" t="n"/>
      <c r="D951" s="194" t="n"/>
      <c r="E951" s="194" t="n"/>
    </row>
    <row r="952" ht="15.75" customHeight="1" s="1">
      <c r="A952" s="194" t="n"/>
      <c r="B952" s="126" t="n"/>
      <c r="C952" s="194" t="n"/>
      <c r="D952" s="194" t="n"/>
      <c r="E952" s="194" t="n"/>
    </row>
    <row r="953" ht="15.75" customHeight="1" s="1">
      <c r="A953" s="194" t="n"/>
      <c r="B953" s="126" t="n"/>
      <c r="C953" s="194" t="n"/>
      <c r="D953" s="194" t="n"/>
      <c r="E953" s="194" t="n"/>
    </row>
    <row r="954" ht="15.75" customHeight="1" s="1">
      <c r="A954" s="194" t="n"/>
      <c r="B954" s="126" t="n"/>
      <c r="C954" s="194" t="n"/>
      <c r="D954" s="194" t="n"/>
      <c r="E954" s="194" t="n"/>
    </row>
    <row r="955" ht="15.75" customHeight="1" s="1">
      <c r="A955" s="194" t="n"/>
      <c r="B955" s="126" t="n"/>
      <c r="C955" s="194" t="n"/>
      <c r="D955" s="194" t="n"/>
      <c r="E955" s="194" t="n"/>
    </row>
    <row r="956" ht="15.75" customHeight="1" s="1">
      <c r="A956" s="194" t="n"/>
      <c r="B956" s="126" t="n"/>
      <c r="C956" s="194" t="n"/>
      <c r="D956" s="194" t="n"/>
      <c r="E956" s="194" t="n"/>
    </row>
    <row r="957" ht="15.75" customHeight="1" s="1">
      <c r="A957" s="194" t="n"/>
      <c r="B957" s="126" t="n"/>
      <c r="C957" s="194" t="n"/>
      <c r="D957" s="194" t="n"/>
      <c r="E957" s="194" t="n"/>
    </row>
    <row r="958" ht="15.75" customHeight="1" s="1">
      <c r="A958" s="194" t="n"/>
      <c r="B958" s="126" t="n"/>
      <c r="C958" s="194" t="n"/>
      <c r="D958" s="194" t="n"/>
      <c r="E958" s="194" t="n"/>
    </row>
    <row r="959" ht="15.75" customHeight="1" s="1">
      <c r="A959" s="194" t="n"/>
      <c r="B959" s="126" t="n"/>
      <c r="C959" s="194" t="n"/>
      <c r="D959" s="194" t="n"/>
      <c r="E959" s="194" t="n"/>
    </row>
    <row r="960" ht="15.75" customHeight="1" s="1">
      <c r="A960" s="194" t="n"/>
      <c r="B960" s="126" t="n"/>
      <c r="C960" s="194" t="n"/>
      <c r="D960" s="194" t="n"/>
      <c r="E960" s="194" t="n"/>
    </row>
    <row r="961" ht="15.75" customHeight="1" s="1">
      <c r="A961" s="194" t="n"/>
      <c r="B961" s="126" t="n"/>
      <c r="C961" s="194" t="n"/>
      <c r="D961" s="194" t="n"/>
      <c r="E961" s="194" t="n"/>
    </row>
    <row r="962" ht="15.75" customHeight="1" s="1">
      <c r="A962" s="194" t="n"/>
      <c r="B962" s="126" t="n"/>
      <c r="C962" s="194" t="n"/>
      <c r="D962" s="194" t="n"/>
      <c r="E962" s="194" t="n"/>
    </row>
    <row r="963" ht="15.75" customHeight="1" s="1">
      <c r="A963" s="194" t="n"/>
      <c r="B963" s="126" t="n"/>
      <c r="C963" s="194" t="n"/>
      <c r="D963" s="194" t="n"/>
      <c r="E963" s="194" t="n"/>
    </row>
    <row r="964" ht="15.75" customHeight="1" s="1">
      <c r="A964" s="194" t="n"/>
      <c r="B964" s="126" t="n"/>
      <c r="C964" s="194" t="n"/>
      <c r="D964" s="194" t="n"/>
      <c r="E964" s="194" t="n"/>
    </row>
    <row r="965" ht="15.75" customHeight="1" s="1">
      <c r="A965" s="194" t="n"/>
      <c r="B965" s="126" t="n"/>
      <c r="C965" s="194" t="n"/>
      <c r="D965" s="194" t="n"/>
      <c r="E965" s="194" t="n"/>
    </row>
    <row r="966" ht="15.75" customHeight="1" s="1">
      <c r="A966" s="194" t="n"/>
      <c r="B966" s="126" t="n"/>
      <c r="C966" s="194" t="n"/>
      <c r="D966" s="194" t="n"/>
      <c r="E966" s="194" t="n"/>
    </row>
    <row r="967" ht="15.75" customHeight="1" s="1">
      <c r="A967" s="194" t="n"/>
      <c r="B967" s="126" t="n"/>
      <c r="C967" s="194" t="n"/>
      <c r="D967" s="194" t="n"/>
      <c r="E967" s="194" t="n"/>
    </row>
    <row r="968" ht="15.75" customHeight="1" s="1">
      <c r="A968" s="194" t="n"/>
      <c r="B968" s="126" t="n"/>
      <c r="C968" s="194" t="n"/>
      <c r="D968" s="194" t="n"/>
      <c r="E968" s="194" t="n"/>
    </row>
    <row r="969" ht="15.75" customHeight="1" s="1">
      <c r="A969" s="194" t="n"/>
      <c r="B969" s="126" t="n"/>
      <c r="C969" s="194" t="n"/>
      <c r="D969" s="194" t="n"/>
      <c r="E969" s="194" t="n"/>
    </row>
    <row r="970" ht="15.75" customHeight="1" s="1">
      <c r="A970" s="194" t="n"/>
      <c r="B970" s="126" t="n"/>
      <c r="C970" s="194" t="n"/>
      <c r="D970" s="194" t="n"/>
      <c r="E970" s="194" t="n"/>
    </row>
    <row r="971" ht="15.75" customHeight="1" s="1">
      <c r="A971" s="194" t="n"/>
      <c r="B971" s="126" t="n"/>
      <c r="C971" s="194" t="n"/>
      <c r="D971" s="194" t="n"/>
      <c r="E971" s="194" t="n"/>
    </row>
    <row r="972" ht="15.75" customHeight="1" s="1">
      <c r="A972" s="194" t="n"/>
      <c r="B972" s="126" t="n"/>
      <c r="C972" s="194" t="n"/>
      <c r="D972" s="194" t="n"/>
      <c r="E972" s="194" t="n"/>
    </row>
    <row r="973" ht="15.75" customHeight="1" s="1">
      <c r="A973" s="194" t="n"/>
      <c r="B973" s="126" t="n"/>
      <c r="C973" s="194" t="n"/>
      <c r="D973" s="194" t="n"/>
      <c r="E973" s="194" t="n"/>
    </row>
    <row r="974" ht="15.75" customHeight="1" s="1">
      <c r="A974" s="194" t="n"/>
      <c r="B974" s="126" t="n"/>
      <c r="C974" s="194" t="n"/>
      <c r="D974" s="194" t="n"/>
      <c r="E974" s="194" t="n"/>
    </row>
    <row r="975" ht="15.75" customHeight="1" s="1">
      <c r="A975" s="194" t="n"/>
      <c r="B975" s="126" t="n"/>
      <c r="C975" s="194" t="n"/>
      <c r="D975" s="194" t="n"/>
      <c r="E975" s="194" t="n"/>
    </row>
    <row r="976" ht="15.75" customHeight="1" s="1">
      <c r="A976" s="194" t="n"/>
      <c r="B976" s="126" t="n"/>
      <c r="C976" s="194" t="n"/>
      <c r="D976" s="194" t="n"/>
      <c r="E976" s="194" t="n"/>
    </row>
    <row r="977" ht="15.75" customHeight="1" s="1">
      <c r="A977" s="194" t="n"/>
      <c r="B977" s="126" t="n"/>
      <c r="C977" s="194" t="n"/>
      <c r="D977" s="194" t="n"/>
      <c r="E977" s="194" t="n"/>
    </row>
    <row r="978" ht="15.75" customHeight="1" s="1">
      <c r="A978" s="194" t="n"/>
      <c r="B978" s="126" t="n"/>
      <c r="C978" s="194" t="n"/>
      <c r="D978" s="194" t="n"/>
      <c r="E978" s="194" t="n"/>
    </row>
    <row r="979" ht="15.75" customHeight="1" s="1">
      <c r="A979" s="194" t="n"/>
      <c r="B979" s="126" t="n"/>
      <c r="C979" s="194" t="n"/>
      <c r="D979" s="194" t="n"/>
      <c r="E979" s="194" t="n"/>
    </row>
    <row r="980" ht="15.75" customHeight="1" s="1">
      <c r="A980" s="194" t="n"/>
      <c r="B980" s="126" t="n"/>
      <c r="C980" s="194" t="n"/>
      <c r="D980" s="194" t="n"/>
      <c r="E980" s="194" t="n"/>
    </row>
    <row r="981" ht="15.75" customHeight="1" s="1">
      <c r="A981" s="194" t="n"/>
      <c r="B981" s="126" t="n"/>
      <c r="C981" s="194" t="n"/>
      <c r="D981" s="194" t="n"/>
      <c r="E981" s="194" t="n"/>
    </row>
    <row r="982" ht="15.75" customHeight="1" s="1">
      <c r="A982" s="194" t="n"/>
      <c r="B982" s="126" t="n"/>
      <c r="C982" s="194" t="n"/>
      <c r="D982" s="194" t="n"/>
      <c r="E982" s="194" t="n"/>
    </row>
    <row r="983" ht="15.75" customHeight="1" s="1">
      <c r="A983" s="194" t="n"/>
      <c r="B983" s="126" t="n"/>
      <c r="C983" s="194" t="n"/>
      <c r="D983" s="194" t="n"/>
      <c r="E983" s="194" t="n"/>
    </row>
    <row r="984" ht="15.75" customHeight="1" s="1">
      <c r="A984" s="194" t="n"/>
      <c r="B984" s="126" t="n"/>
      <c r="C984" s="194" t="n"/>
      <c r="D984" s="194" t="n"/>
      <c r="E984" s="194" t="n"/>
    </row>
    <row r="985" ht="15.75" customHeight="1" s="1">
      <c r="A985" s="194" t="n"/>
      <c r="B985" s="126" t="n"/>
      <c r="C985" s="194" t="n"/>
      <c r="D985" s="194" t="n"/>
      <c r="E985" s="194" t="n"/>
    </row>
    <row r="986" ht="15.75" customHeight="1" s="1">
      <c r="A986" s="194" t="n"/>
      <c r="B986" s="126" t="n"/>
      <c r="C986" s="194" t="n"/>
      <c r="D986" s="194" t="n"/>
      <c r="E986" s="194" t="n"/>
    </row>
    <row r="987" ht="15.75" customHeight="1" s="1">
      <c r="A987" s="194" t="n"/>
      <c r="B987" s="126" t="n"/>
      <c r="C987" s="194" t="n"/>
      <c r="D987" s="194" t="n"/>
      <c r="E987" s="194" t="n"/>
    </row>
    <row r="988" ht="15.75" customHeight="1" s="1">
      <c r="A988" s="194" t="n"/>
      <c r="B988" s="126" t="n"/>
      <c r="C988" s="194" t="n"/>
      <c r="D988" s="194" t="n"/>
      <c r="E988" s="194" t="n"/>
    </row>
    <row r="989" ht="15.75" customHeight="1" s="1">
      <c r="A989" s="194" t="n"/>
      <c r="B989" s="126" t="n"/>
      <c r="C989" s="194" t="n"/>
      <c r="D989" s="194" t="n"/>
      <c r="E989" s="194" t="n"/>
    </row>
    <row r="990" ht="15.75" customHeight="1" s="1">
      <c r="A990" s="194" t="n"/>
      <c r="B990" s="126" t="n"/>
      <c r="C990" s="194" t="n"/>
      <c r="D990" s="194" t="n"/>
      <c r="E990" s="194" t="n"/>
    </row>
    <row r="991" ht="15.75" customHeight="1" s="1">
      <c r="A991" s="194" t="n"/>
      <c r="B991" s="126" t="n"/>
      <c r="C991" s="194" t="n"/>
      <c r="D991" s="194" t="n"/>
      <c r="E991" s="194" t="n"/>
    </row>
    <row r="992" ht="15.75" customHeight="1" s="1">
      <c r="A992" s="194" t="n"/>
      <c r="B992" s="126" t="n"/>
      <c r="C992" s="194" t="n"/>
      <c r="D992" s="194" t="n"/>
      <c r="E992" s="194" t="n"/>
    </row>
    <row r="993" ht="15.75" customHeight="1" s="1">
      <c r="A993" s="194" t="n"/>
      <c r="B993" s="126" t="n"/>
      <c r="C993" s="194" t="n"/>
      <c r="D993" s="194" t="n"/>
      <c r="E993" s="194" t="n"/>
    </row>
    <row r="994" ht="15.75" customHeight="1" s="1">
      <c r="A994" s="194" t="n"/>
      <c r="B994" s="126" t="n"/>
      <c r="C994" s="194" t="n"/>
      <c r="D994" s="194" t="n"/>
      <c r="E994" s="194" t="n"/>
    </row>
    <row r="995" ht="15.75" customHeight="1" s="1">
      <c r="A995" s="194" t="n"/>
      <c r="B995" s="126" t="n"/>
      <c r="C995" s="194" t="n"/>
      <c r="D995" s="194" t="n"/>
      <c r="E995" s="194" t="n"/>
    </row>
    <row r="996" ht="15.75" customHeight="1" s="1">
      <c r="A996" s="194" t="n"/>
      <c r="B996" s="126" t="n"/>
      <c r="C996" s="194" t="n"/>
      <c r="D996" s="194" t="n"/>
      <c r="E996" s="194" t="n"/>
    </row>
    <row r="997" ht="15.75" customHeight="1" s="1">
      <c r="A997" s="194" t="n"/>
      <c r="B997" s="126" t="n"/>
      <c r="C997" s="194" t="n"/>
      <c r="D997" s="194" t="n"/>
      <c r="E997" s="194" t="n"/>
    </row>
    <row r="998" ht="15.75" customHeight="1" s="1">
      <c r="A998" s="194" t="n"/>
      <c r="B998" s="126" t="n"/>
      <c r="C998" s="194" t="n"/>
      <c r="D998" s="194" t="n"/>
      <c r="E998" s="194" t="n"/>
    </row>
    <row r="999" ht="15.75" customHeight="1" s="1">
      <c r="A999" s="194" t="n"/>
      <c r="B999" s="126" t="n"/>
      <c r="C999" s="194" t="n"/>
      <c r="D999" s="194" t="n"/>
      <c r="E999" s="194" t="n"/>
    </row>
    <row r="1000" ht="15.75" customHeight="1" s="1">
      <c r="A1000" s="194" t="n"/>
      <c r="B1000" s="126" t="n"/>
      <c r="C1000" s="194" t="n"/>
      <c r="D1000" s="194" t="n"/>
      <c r="E1000" s="194" t="n"/>
    </row>
  </sheetData>
  <mergeCells count="14">
    <mergeCell ref="B6:C6"/>
    <mergeCell ref="A71:C71"/>
    <mergeCell ref="B2:C2"/>
    <mergeCell ref="A1:C1"/>
    <mergeCell ref="B4:C4"/>
    <mergeCell ref="B5:C5"/>
    <mergeCell ref="D7:D8"/>
    <mergeCell ref="A70:C70"/>
    <mergeCell ref="A7:A8"/>
    <mergeCell ref="E7:E8"/>
    <mergeCell ref="B7:B8"/>
    <mergeCell ref="C7:C8"/>
    <mergeCell ref="A73:C73"/>
    <mergeCell ref="A72:C7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15"/>
  <sheetViews>
    <sheetView showGridLines="0" workbookViewId="0">
      <selection activeCell="I1" sqref="I1"/>
    </sheetView>
  </sheetViews>
  <sheetFormatPr baseColWidth="8" defaultColWidth="12.6640625" defaultRowHeight="15" customHeight="1"/>
  <cols>
    <col width="7" customWidth="1" style="1" min="1" max="1"/>
    <col width="16.88671875" customWidth="1" style="1" min="2" max="2"/>
    <col width="31" customWidth="1" style="1" min="3" max="3"/>
    <col width="18.33203125" customWidth="1" style="1" min="4" max="9"/>
    <col width="12.44140625" customWidth="1" style="1" min="10" max="26"/>
    <col width="12.6640625" customWidth="1" style="1" min="27" max="28"/>
    <col width="12.6640625" customWidth="1" style="1" min="29" max="16384"/>
  </cols>
  <sheetData>
    <row r="1" ht="113.25" customHeight="1" s="1">
      <c r="A1" s="132" t="inlineStr">
        <is>
          <t>S.NO</t>
        </is>
      </c>
      <c r="B1" s="169" t="inlineStr">
        <is>
          <t>Roll No</t>
        </is>
      </c>
      <c r="C1" s="169" t="inlineStr">
        <is>
          <t>Student Name</t>
        </is>
      </c>
      <c r="D1" s="170" t="inlineStr">
        <is>
          <t xml:space="preserve">CO1 Formulate a problem as a state space search method and its solution using various AI techniques </t>
        </is>
      </c>
      <c r="E1" s="136" t="inlineStr">
        <is>
          <t xml:space="preserve">CO2
Apply appropriate searching techniques to solve a real-world problem 
</t>
        </is>
      </c>
      <c r="F1" s="136" t="inlineStr">
        <is>
          <t xml:space="preserve">CO3
Develop various game playing strategies to solve real world adversarial search problems 
</t>
        </is>
      </c>
      <c r="G1" s="136" t="inlineStr">
        <is>
          <t xml:space="preserve">CO4
Represent various knowledge representation techniques to solve complex AI problems 
</t>
        </is>
      </c>
      <c r="H1" s="136" t="inlineStr">
        <is>
          <t xml:space="preserve">CO5
Design an expert system to implement advance techniques in Artificial Intelligence 
</t>
        </is>
      </c>
      <c r="I1" s="55" t="n"/>
      <c r="J1" s="92" t="n"/>
      <c r="K1" s="7" t="n"/>
      <c r="L1" s="7" t="n"/>
      <c r="M1" s="7" t="n"/>
      <c r="N1" s="7" t="n"/>
      <c r="O1" s="7" t="n"/>
      <c r="P1" s="7" t="n"/>
      <c r="Q1" s="7" t="n"/>
      <c r="R1" s="7" t="n"/>
      <c r="S1" s="7" t="n"/>
      <c r="T1" s="7" t="n"/>
      <c r="U1" s="7" t="n"/>
      <c r="V1" s="7" t="n"/>
      <c r="W1" s="7" t="n"/>
      <c r="X1" s="7" t="n"/>
      <c r="Y1" s="7" t="n"/>
      <c r="Z1" s="7" t="n"/>
    </row>
    <row r="2" ht="29.25" customHeight="1" s="1">
      <c r="A2" s="173" t="n"/>
      <c r="B2" s="171" t="n"/>
      <c r="C2" s="171" t="n"/>
      <c r="D2" s="172" t="n"/>
      <c r="E2" s="172" t="n"/>
      <c r="F2" s="172" t="n"/>
      <c r="G2" s="172" t="n"/>
      <c r="H2" s="172" t="n"/>
      <c r="I2" s="172" t="n"/>
      <c r="J2" s="92" t="n"/>
      <c r="K2" s="7" t="n"/>
      <c r="L2" s="7" t="n"/>
      <c r="M2" s="7" t="n"/>
      <c r="N2" s="7" t="n"/>
      <c r="O2" s="7" t="n"/>
      <c r="P2" s="7" t="n"/>
      <c r="Q2" s="7" t="n"/>
      <c r="R2" s="7" t="n"/>
      <c r="S2" s="7" t="n"/>
      <c r="T2" s="7" t="n"/>
      <c r="U2" s="7" t="n"/>
      <c r="V2" s="7" t="n"/>
      <c r="W2" s="7" t="n"/>
      <c r="X2" s="7" t="n"/>
      <c r="Y2" s="7" t="n"/>
      <c r="Z2" s="7" t="n"/>
    </row>
    <row r="3" ht="18" customHeight="1" s="1">
      <c r="A3" s="139" t="n"/>
      <c r="B3" s="140" t="n"/>
      <c r="C3" s="143" t="n"/>
      <c r="D3" s="173" t="n"/>
      <c r="E3" s="173" t="n"/>
      <c r="F3" s="173" t="n"/>
      <c r="G3" s="173" t="n"/>
      <c r="H3" s="173" t="n"/>
      <c r="I3" s="173" t="n"/>
      <c r="J3" s="92" t="n"/>
      <c r="K3" s="7" t="n"/>
      <c r="L3" s="7" t="n"/>
      <c r="M3" s="7" t="n"/>
      <c r="N3" s="7" t="n"/>
      <c r="O3" s="7" t="n"/>
      <c r="P3" s="7" t="n"/>
      <c r="Q3" s="7" t="n"/>
      <c r="R3" s="7" t="n"/>
      <c r="S3" s="7" t="n"/>
      <c r="T3" s="7" t="n"/>
      <c r="U3" s="7" t="n"/>
      <c r="V3" s="7" t="n"/>
      <c r="W3" s="7" t="n"/>
      <c r="X3" s="7" t="n"/>
      <c r="Y3" s="7" t="n"/>
      <c r="Z3" s="7" t="n"/>
    </row>
    <row r="4" ht="18" customHeight="1" s="1">
      <c r="A4" s="139" t="n"/>
      <c r="B4" s="141" t="n"/>
      <c r="C4" s="143" t="n"/>
      <c r="D4" s="173" t="n"/>
      <c r="E4" s="173" t="n"/>
      <c r="F4" s="173" t="n"/>
      <c r="G4" s="173" t="n"/>
      <c r="H4" s="173" t="n"/>
      <c r="I4" s="173" t="n"/>
      <c r="J4" s="92" t="n"/>
      <c r="K4" s="7" t="n"/>
      <c r="L4" s="7" t="n"/>
      <c r="M4" s="7" t="n"/>
      <c r="N4" s="7" t="n"/>
      <c r="O4" s="7" t="n"/>
      <c r="P4" s="7" t="n"/>
      <c r="Q4" s="7" t="n"/>
      <c r="R4" s="7" t="n"/>
      <c r="S4" s="7" t="n"/>
      <c r="T4" s="7" t="n"/>
      <c r="U4" s="7" t="n"/>
      <c r="V4" s="7" t="n"/>
      <c r="W4" s="7" t="n"/>
      <c r="X4" s="7" t="n"/>
      <c r="Y4" s="7" t="n"/>
      <c r="Z4" s="7" t="n"/>
    </row>
    <row r="5" ht="18" customHeight="1" s="1">
      <c r="A5" s="139" t="n"/>
      <c r="B5" s="141" t="n"/>
      <c r="C5" s="143" t="n"/>
      <c r="D5" s="173" t="n"/>
      <c r="E5" s="173" t="n"/>
      <c r="F5" s="173" t="n"/>
      <c r="G5" s="173" t="n"/>
      <c r="H5" s="173" t="n"/>
      <c r="I5" s="173" t="n"/>
      <c r="J5" s="92" t="n"/>
      <c r="K5" s="7" t="n"/>
      <c r="L5" s="7" t="n"/>
      <c r="M5" s="7" t="n"/>
      <c r="N5" s="7" t="n"/>
      <c r="O5" s="7" t="n"/>
      <c r="P5" s="7" t="n"/>
      <c r="Q5" s="7" t="n"/>
      <c r="R5" s="7" t="n"/>
      <c r="S5" s="7" t="n"/>
      <c r="T5" s="7" t="n"/>
      <c r="U5" s="7" t="n"/>
      <c r="V5" s="7" t="n"/>
      <c r="W5" s="7" t="n"/>
      <c r="X5" s="7" t="n"/>
      <c r="Y5" s="7" t="n"/>
      <c r="Z5" s="7" t="n"/>
    </row>
    <row r="6" ht="18" customHeight="1" s="1">
      <c r="A6" s="139" t="n"/>
      <c r="B6" s="141" t="n"/>
      <c r="C6" s="143" t="n"/>
      <c r="D6" s="173" t="n"/>
      <c r="E6" s="173" t="n"/>
      <c r="F6" s="173" t="n"/>
      <c r="G6" s="173" t="n"/>
      <c r="H6" s="173" t="n"/>
      <c r="I6" s="173" t="n"/>
      <c r="J6" s="92" t="n"/>
      <c r="K6" s="7" t="n"/>
      <c r="L6" s="7" t="n"/>
      <c r="M6" s="7" t="n"/>
      <c r="N6" s="7" t="n"/>
      <c r="O6" s="7" t="n"/>
      <c r="P6" s="7" t="n"/>
      <c r="Q6" s="7" t="n"/>
      <c r="R6" s="7" t="n"/>
      <c r="S6" s="7" t="n"/>
      <c r="T6" s="7" t="n"/>
      <c r="U6" s="7" t="n"/>
      <c r="V6" s="7" t="n"/>
      <c r="W6" s="7" t="n"/>
      <c r="X6" s="7" t="n"/>
      <c r="Y6" s="7" t="n"/>
      <c r="Z6" s="7" t="n"/>
    </row>
    <row r="7" ht="18" customHeight="1" s="1">
      <c r="A7" s="139" t="n"/>
      <c r="B7" s="141" t="n"/>
      <c r="C7" s="143" t="n"/>
      <c r="D7" s="173" t="n"/>
      <c r="E7" s="173" t="n"/>
      <c r="F7" s="173" t="n"/>
      <c r="G7" s="173" t="n"/>
      <c r="H7" s="173" t="n"/>
      <c r="I7" s="173" t="n"/>
      <c r="J7" s="92" t="n"/>
      <c r="K7" s="7" t="n"/>
      <c r="L7" s="7" t="n"/>
      <c r="M7" s="7" t="n"/>
      <c r="N7" s="7" t="n"/>
      <c r="O7" s="7" t="n"/>
      <c r="P7" s="7" t="n"/>
      <c r="Q7" s="7" t="n"/>
      <c r="R7" s="7" t="n"/>
      <c r="S7" s="7" t="n"/>
      <c r="T7" s="7" t="n"/>
      <c r="U7" s="7" t="n"/>
      <c r="V7" s="7" t="n"/>
      <c r="W7" s="7" t="n"/>
      <c r="X7" s="7" t="n"/>
      <c r="Y7" s="7" t="n"/>
      <c r="Z7" s="7" t="n"/>
    </row>
    <row r="8" ht="18" customHeight="1" s="1">
      <c r="A8" s="139" t="n"/>
      <c r="B8" s="141" t="n"/>
      <c r="C8" s="143" t="n"/>
      <c r="D8" s="173" t="n"/>
      <c r="E8" s="173" t="n"/>
      <c r="F8" s="173" t="n"/>
      <c r="G8" s="173" t="n"/>
      <c r="H8" s="173" t="n"/>
      <c r="I8" s="173" t="n"/>
      <c r="J8" s="92" t="n"/>
      <c r="K8" s="7" t="n"/>
      <c r="L8" s="7" t="n"/>
      <c r="M8" s="7" t="n"/>
      <c r="N8" s="7" t="n"/>
      <c r="O8" s="7" t="n"/>
      <c r="P8" s="7" t="n"/>
      <c r="Q8" s="7" t="n"/>
      <c r="R8" s="7" t="n"/>
      <c r="S8" s="7" t="n"/>
      <c r="T8" s="7" t="n"/>
      <c r="U8" s="7" t="n"/>
      <c r="V8" s="7" t="n"/>
      <c r="W8" s="7" t="n"/>
      <c r="X8" s="7" t="n"/>
      <c r="Y8" s="7" t="n"/>
      <c r="Z8" s="7" t="n"/>
    </row>
    <row r="9" ht="18" customHeight="1" s="1">
      <c r="A9" s="139" t="n"/>
      <c r="B9" s="141" t="n"/>
      <c r="C9" s="143" t="n"/>
      <c r="D9" s="173" t="n"/>
      <c r="E9" s="173" t="n"/>
      <c r="F9" s="173" t="n"/>
      <c r="G9" s="173" t="n"/>
      <c r="H9" s="173" t="n"/>
      <c r="I9" s="173" t="n"/>
      <c r="J9" s="92" t="n"/>
      <c r="K9" s="7" t="n"/>
      <c r="L9" s="7" t="n"/>
      <c r="M9" s="7" t="n"/>
      <c r="N9" s="7" t="n"/>
      <c r="O9" s="7" t="n"/>
      <c r="P9" s="7" t="n"/>
      <c r="Q9" s="7" t="n"/>
      <c r="R9" s="7" t="n"/>
      <c r="S9" s="7" t="n"/>
      <c r="T9" s="7" t="n"/>
      <c r="U9" s="7" t="n"/>
      <c r="V9" s="7" t="n"/>
      <c r="W9" s="7" t="n"/>
      <c r="X9" s="7" t="n"/>
      <c r="Y9" s="7" t="n"/>
      <c r="Z9" s="7" t="n"/>
    </row>
    <row r="10" ht="18" customHeight="1" s="1">
      <c r="A10" s="139" t="n"/>
      <c r="B10" s="141" t="n"/>
      <c r="C10" s="143" t="n"/>
      <c r="D10" s="173" t="n"/>
      <c r="E10" s="173" t="n"/>
      <c r="F10" s="173" t="n"/>
      <c r="G10" s="173" t="n"/>
      <c r="H10" s="173" t="n"/>
      <c r="I10" s="173" t="n"/>
      <c r="J10" s="92" t="n"/>
      <c r="K10" s="7" t="n"/>
      <c r="L10" s="7" t="n"/>
      <c r="M10" s="7" t="n"/>
      <c r="N10" s="7" t="n"/>
      <c r="O10" s="7" t="n"/>
      <c r="P10" s="7" t="n"/>
      <c r="Q10" s="7" t="n"/>
      <c r="R10" s="7" t="n"/>
      <c r="S10" s="7" t="n"/>
      <c r="T10" s="7" t="n"/>
      <c r="U10" s="7" t="n"/>
      <c r="V10" s="7" t="n"/>
      <c r="W10" s="7" t="n"/>
      <c r="X10" s="7" t="n"/>
      <c r="Y10" s="7" t="n"/>
      <c r="Z10" s="7" t="n"/>
    </row>
    <row r="11" ht="18" customHeight="1" s="1">
      <c r="A11" s="139" t="n"/>
      <c r="B11" s="141" t="n"/>
      <c r="C11" s="143" t="n"/>
      <c r="D11" s="173" t="n"/>
      <c r="E11" s="173" t="n"/>
      <c r="F11" s="173" t="n"/>
      <c r="G11" s="173" t="n"/>
      <c r="H11" s="173" t="n"/>
      <c r="I11" s="173" t="n"/>
      <c r="J11" s="92" t="n"/>
      <c r="K11" s="7" t="n"/>
      <c r="L11" s="7" t="n"/>
      <c r="M11" s="7" t="n"/>
      <c r="N11" s="7" t="n"/>
      <c r="O11" s="7" t="n"/>
      <c r="P11" s="7" t="n"/>
      <c r="Q11" s="7" t="n"/>
      <c r="R11" s="7" t="n"/>
      <c r="S11" s="7" t="n"/>
      <c r="T11" s="7" t="n"/>
      <c r="U11" s="7" t="n"/>
      <c r="V11" s="7" t="n"/>
      <c r="W11" s="7" t="n"/>
      <c r="X11" s="7" t="n"/>
      <c r="Y11" s="7" t="n"/>
      <c r="Z11" s="7" t="n"/>
    </row>
    <row r="12" ht="18" customHeight="1" s="1">
      <c r="A12" s="139" t="n"/>
      <c r="B12" s="141" t="n"/>
      <c r="C12" s="143" t="n"/>
      <c r="D12" s="173" t="n"/>
      <c r="E12" s="173" t="n"/>
      <c r="F12" s="173" t="n"/>
      <c r="G12" s="173" t="n"/>
      <c r="H12" s="173" t="n"/>
      <c r="I12" s="173" t="n"/>
      <c r="J12" s="92" t="n"/>
      <c r="K12" s="7" t="n"/>
      <c r="L12" s="7" t="n"/>
      <c r="M12" s="7" t="n"/>
      <c r="N12" s="7" t="n"/>
      <c r="O12" s="7" t="n"/>
      <c r="P12" s="7" t="n"/>
      <c r="Q12" s="7" t="n"/>
      <c r="R12" s="7" t="n"/>
      <c r="S12" s="7" t="n"/>
      <c r="T12" s="7" t="n"/>
      <c r="U12" s="7" t="n"/>
      <c r="V12" s="7" t="n"/>
      <c r="W12" s="7" t="n"/>
      <c r="X12" s="7" t="n"/>
      <c r="Y12" s="7" t="n"/>
      <c r="Z12" s="7" t="n"/>
    </row>
    <row r="13" ht="18" customHeight="1" s="1">
      <c r="A13" s="139" t="n"/>
      <c r="B13" s="141" t="n"/>
      <c r="C13" s="143" t="n"/>
      <c r="D13" s="173" t="n"/>
      <c r="E13" s="173" t="n"/>
      <c r="F13" s="173" t="n"/>
      <c r="G13" s="173" t="n"/>
      <c r="H13" s="173" t="n"/>
      <c r="I13" s="173" t="n"/>
      <c r="J13" s="92" t="n"/>
      <c r="K13" s="7" t="n"/>
      <c r="L13" s="7" t="n"/>
      <c r="M13" s="7" t="n"/>
      <c r="N13" s="7" t="n"/>
      <c r="O13" s="7" t="n"/>
      <c r="P13" s="7" t="n"/>
      <c r="Q13" s="7" t="n"/>
      <c r="R13" s="7" t="n"/>
      <c r="S13" s="7" t="n"/>
      <c r="T13" s="7" t="n"/>
      <c r="U13" s="7" t="n"/>
      <c r="V13" s="7" t="n"/>
      <c r="W13" s="7" t="n"/>
      <c r="X13" s="7" t="n"/>
      <c r="Y13" s="7" t="n"/>
      <c r="Z13" s="7" t="n"/>
    </row>
    <row r="14" ht="18" customHeight="1" s="1">
      <c r="A14" s="139" t="n"/>
      <c r="B14" s="141" t="n"/>
      <c r="C14" s="143" t="n"/>
      <c r="D14" s="173" t="n"/>
      <c r="E14" s="173" t="n"/>
      <c r="F14" s="173" t="n"/>
      <c r="G14" s="173" t="n"/>
      <c r="H14" s="173" t="n"/>
      <c r="I14" s="173" t="n"/>
      <c r="J14" s="92" t="n"/>
      <c r="K14" s="7" t="n"/>
      <c r="L14" s="7" t="n"/>
      <c r="M14" s="7" t="n"/>
      <c r="N14" s="7" t="n"/>
      <c r="O14" s="7" t="n"/>
      <c r="P14" s="7" t="n"/>
      <c r="Q14" s="7" t="n"/>
      <c r="R14" s="7" t="n"/>
      <c r="S14" s="7" t="n"/>
      <c r="T14" s="7" t="n"/>
      <c r="U14" s="7" t="n"/>
      <c r="V14" s="7" t="n"/>
      <c r="W14" s="7" t="n"/>
      <c r="X14" s="7" t="n"/>
      <c r="Y14" s="7" t="n"/>
      <c r="Z14" s="7" t="n"/>
    </row>
    <row r="15" ht="18" customHeight="1" s="1">
      <c r="A15" s="139" t="n"/>
      <c r="B15" s="141" t="n"/>
      <c r="C15" s="143" t="n"/>
      <c r="D15" s="173" t="n"/>
      <c r="E15" s="173" t="n"/>
      <c r="F15" s="173" t="n"/>
      <c r="G15" s="173" t="n"/>
      <c r="H15" s="173" t="n"/>
      <c r="I15" s="173" t="n"/>
      <c r="J15" s="92" t="n"/>
      <c r="K15" s="7" t="n"/>
      <c r="L15" s="7" t="n"/>
      <c r="M15" s="7" t="n"/>
      <c r="N15" s="7" t="n"/>
      <c r="O15" s="7" t="n"/>
      <c r="P15" s="7" t="n"/>
      <c r="Q15" s="7" t="n"/>
      <c r="R15" s="7" t="n"/>
      <c r="S15" s="7" t="n"/>
      <c r="T15" s="7" t="n"/>
      <c r="U15" s="7" t="n"/>
      <c r="V15" s="7" t="n"/>
      <c r="W15" s="7" t="n"/>
      <c r="X15" s="7" t="n"/>
      <c r="Y15" s="7" t="n"/>
      <c r="Z15" s="7" t="n"/>
    </row>
    <row r="16" ht="18" customHeight="1" s="1">
      <c r="A16" s="139" t="n"/>
      <c r="B16" s="141" t="n"/>
      <c r="C16" s="143" t="n"/>
      <c r="D16" s="173" t="n"/>
      <c r="E16" s="173" t="n"/>
      <c r="F16" s="173" t="n"/>
      <c r="G16" s="173" t="n"/>
      <c r="H16" s="173" t="n"/>
      <c r="I16" s="173" t="n"/>
      <c r="J16" s="92" t="n"/>
      <c r="K16" s="7" t="n"/>
      <c r="L16" s="7" t="n"/>
      <c r="M16" s="7" t="n"/>
      <c r="N16" s="7" t="n"/>
      <c r="O16" s="7" t="n"/>
      <c r="P16" s="7" t="n"/>
      <c r="Q16" s="7" t="n"/>
      <c r="R16" s="7" t="n"/>
      <c r="S16" s="7" t="n"/>
      <c r="T16" s="7" t="n"/>
      <c r="U16" s="7" t="n"/>
      <c r="V16" s="7" t="n"/>
      <c r="W16" s="7" t="n"/>
      <c r="X16" s="7" t="n"/>
      <c r="Y16" s="7" t="n"/>
      <c r="Z16" s="7" t="n"/>
    </row>
    <row r="17" ht="18" customHeight="1" s="1">
      <c r="A17" s="139" t="n"/>
      <c r="B17" s="141" t="n"/>
      <c r="C17" s="143" t="n"/>
      <c r="D17" s="173" t="n"/>
      <c r="E17" s="173" t="n"/>
      <c r="F17" s="173" t="n"/>
      <c r="G17" s="173" t="n"/>
      <c r="H17" s="173" t="n"/>
      <c r="I17" s="173" t="n"/>
      <c r="J17" s="92" t="n"/>
      <c r="K17" s="7" t="n"/>
      <c r="L17" s="7" t="n"/>
      <c r="M17" s="7" t="n"/>
      <c r="N17" s="7" t="n"/>
      <c r="O17" s="7" t="n"/>
      <c r="P17" s="7" t="n"/>
      <c r="Q17" s="7" t="n"/>
      <c r="R17" s="7" t="n"/>
      <c r="S17" s="7" t="n"/>
      <c r="T17" s="7" t="n"/>
      <c r="U17" s="7" t="n"/>
      <c r="V17" s="7" t="n"/>
      <c r="W17" s="7" t="n"/>
      <c r="X17" s="7" t="n"/>
      <c r="Y17" s="7" t="n"/>
      <c r="Z17" s="7" t="n"/>
    </row>
    <row r="18" ht="18" customHeight="1" s="1">
      <c r="A18" s="139" t="n"/>
      <c r="B18" s="141" t="n"/>
      <c r="C18" s="143" t="n"/>
      <c r="D18" s="173" t="n"/>
      <c r="E18" s="173" t="n"/>
      <c r="F18" s="173" t="n"/>
      <c r="G18" s="173" t="n"/>
      <c r="H18" s="173" t="n"/>
      <c r="I18" s="173" t="n"/>
      <c r="J18" s="92" t="n"/>
      <c r="K18" s="7" t="n"/>
      <c r="L18" s="7" t="n"/>
      <c r="M18" s="7" t="n"/>
      <c r="N18" s="7" t="n"/>
      <c r="O18" s="7" t="n"/>
      <c r="P18" s="7" t="n"/>
      <c r="Q18" s="7" t="n"/>
      <c r="R18" s="7" t="n"/>
      <c r="S18" s="7" t="n"/>
      <c r="T18" s="7" t="n"/>
      <c r="U18" s="7" t="n"/>
      <c r="V18" s="7" t="n"/>
      <c r="W18" s="7" t="n"/>
      <c r="X18" s="7" t="n"/>
      <c r="Y18" s="7" t="n"/>
      <c r="Z18" s="7" t="n"/>
    </row>
    <row r="19" ht="18" customHeight="1" s="1">
      <c r="A19" s="139" t="n"/>
      <c r="B19" s="141" t="n"/>
      <c r="C19" s="143" t="n"/>
      <c r="D19" s="173" t="n"/>
      <c r="E19" s="173" t="n"/>
      <c r="F19" s="173" t="n"/>
      <c r="G19" s="173" t="n"/>
      <c r="H19" s="173" t="n"/>
      <c r="I19" s="173" t="n"/>
      <c r="J19" s="92" t="n"/>
      <c r="K19" s="7" t="n"/>
      <c r="L19" s="7" t="n"/>
      <c r="M19" s="7" t="n"/>
      <c r="N19" s="7" t="n"/>
      <c r="O19" s="7" t="n"/>
      <c r="P19" s="7" t="n"/>
      <c r="Q19" s="7" t="n"/>
      <c r="R19" s="7" t="n"/>
      <c r="S19" s="7" t="n"/>
      <c r="T19" s="7" t="n"/>
      <c r="U19" s="7" t="n"/>
      <c r="V19" s="7" t="n"/>
      <c r="W19" s="7" t="n"/>
      <c r="X19" s="7" t="n"/>
      <c r="Y19" s="7" t="n"/>
      <c r="Z19" s="7" t="n"/>
    </row>
    <row r="20" ht="18" customHeight="1" s="1">
      <c r="A20" s="139" t="n"/>
      <c r="B20" s="141" t="n"/>
      <c r="C20" s="143" t="n"/>
      <c r="D20" s="173" t="n"/>
      <c r="E20" s="173" t="n"/>
      <c r="F20" s="173" t="n"/>
      <c r="G20" s="173" t="n"/>
      <c r="H20" s="173" t="n"/>
      <c r="I20" s="173" t="n"/>
      <c r="J20" s="92" t="n"/>
      <c r="K20" s="7" t="n"/>
      <c r="L20" s="7" t="n"/>
      <c r="M20" s="7" t="n"/>
      <c r="N20" s="7" t="n"/>
      <c r="O20" s="7" t="n"/>
      <c r="P20" s="7" t="n"/>
      <c r="Q20" s="7" t="n"/>
      <c r="R20" s="7" t="n"/>
      <c r="S20" s="7" t="n"/>
      <c r="T20" s="7" t="n"/>
      <c r="U20" s="7" t="n"/>
      <c r="V20" s="7" t="n"/>
      <c r="W20" s="7" t="n"/>
      <c r="X20" s="7" t="n"/>
      <c r="Y20" s="7" t="n"/>
      <c r="Z20" s="7" t="n"/>
    </row>
    <row r="21" ht="18" customHeight="1" s="1">
      <c r="A21" s="139" t="n"/>
      <c r="B21" s="141" t="n"/>
      <c r="C21" s="143" t="n"/>
      <c r="D21" s="173" t="n"/>
      <c r="E21" s="173" t="n"/>
      <c r="F21" s="173" t="n"/>
      <c r="G21" s="173" t="n"/>
      <c r="H21" s="173" t="n"/>
      <c r="I21" s="173" t="n"/>
      <c r="J21" s="92" t="n"/>
      <c r="K21" s="7" t="n"/>
      <c r="L21" s="7" t="n"/>
      <c r="M21" s="7" t="n"/>
      <c r="N21" s="7" t="n"/>
      <c r="O21" s="7" t="n"/>
      <c r="P21" s="7" t="n"/>
      <c r="Q21" s="7" t="n"/>
      <c r="R21" s="7" t="n"/>
      <c r="S21" s="7" t="n"/>
      <c r="T21" s="7" t="n"/>
      <c r="U21" s="7" t="n"/>
      <c r="V21" s="7" t="n"/>
      <c r="W21" s="7" t="n"/>
      <c r="X21" s="7" t="n"/>
      <c r="Y21" s="7" t="n"/>
      <c r="Z21" s="7" t="n"/>
    </row>
    <row r="22" ht="18" customHeight="1" s="1">
      <c r="A22" s="139" t="n"/>
      <c r="B22" s="141" t="n"/>
      <c r="C22" s="143" t="n"/>
      <c r="D22" s="173" t="n"/>
      <c r="E22" s="173" t="n"/>
      <c r="F22" s="173" t="n"/>
      <c r="G22" s="173" t="n"/>
      <c r="H22" s="173" t="n"/>
      <c r="I22" s="173" t="n"/>
      <c r="J22" s="92" t="n"/>
      <c r="K22" s="7" t="n"/>
      <c r="L22" s="7" t="n"/>
      <c r="M22" s="7" t="n"/>
      <c r="N22" s="7" t="n"/>
      <c r="O22" s="7" t="n"/>
      <c r="P22" s="7" t="n"/>
      <c r="Q22" s="7" t="n"/>
      <c r="R22" s="7" t="n"/>
      <c r="S22" s="7" t="n"/>
      <c r="T22" s="7" t="n"/>
      <c r="U22" s="7" t="n"/>
      <c r="V22" s="7" t="n"/>
      <c r="W22" s="7" t="n"/>
      <c r="X22" s="7" t="n"/>
      <c r="Y22" s="7" t="n"/>
      <c r="Z22" s="7" t="n"/>
    </row>
    <row r="23" ht="18" customHeight="1" s="1">
      <c r="A23" s="139" t="n"/>
      <c r="B23" s="141" t="n"/>
      <c r="C23" s="143" t="n"/>
      <c r="D23" s="173" t="n"/>
      <c r="E23" s="173" t="n"/>
      <c r="F23" s="173" t="n"/>
      <c r="G23" s="173" t="n"/>
      <c r="H23" s="173" t="n"/>
      <c r="I23" s="173" t="n"/>
      <c r="J23" s="92" t="n"/>
      <c r="K23" s="7" t="n"/>
      <c r="L23" s="7" t="n"/>
      <c r="M23" s="7" t="n"/>
      <c r="N23" s="7" t="n"/>
      <c r="O23" s="7" t="n"/>
      <c r="P23" s="7" t="n"/>
      <c r="Q23" s="7" t="n"/>
      <c r="R23" s="7" t="n"/>
      <c r="S23" s="7" t="n"/>
      <c r="T23" s="7" t="n"/>
      <c r="U23" s="7" t="n"/>
      <c r="V23" s="7" t="n"/>
      <c r="W23" s="7" t="n"/>
      <c r="X23" s="7" t="n"/>
      <c r="Y23" s="7" t="n"/>
      <c r="Z23" s="7" t="n"/>
    </row>
    <row r="24" ht="18" customHeight="1" s="1">
      <c r="A24" s="139" t="n"/>
      <c r="B24" s="141" t="n"/>
      <c r="C24" s="143" t="n"/>
      <c r="D24" s="173" t="n"/>
      <c r="E24" s="173" t="n"/>
      <c r="F24" s="173" t="n"/>
      <c r="G24" s="173" t="n"/>
      <c r="H24" s="173" t="n"/>
      <c r="I24" s="173" t="n"/>
      <c r="J24" s="92" t="n"/>
      <c r="K24" s="7" t="n"/>
      <c r="L24" s="7" t="n"/>
      <c r="M24" s="7" t="n"/>
      <c r="N24" s="7" t="n"/>
      <c r="O24" s="7" t="n"/>
      <c r="P24" s="7" t="n"/>
      <c r="Q24" s="7" t="n"/>
      <c r="R24" s="7" t="n"/>
      <c r="S24" s="7" t="n"/>
      <c r="T24" s="7" t="n"/>
      <c r="U24" s="7" t="n"/>
      <c r="V24" s="7" t="n"/>
      <c r="W24" s="7" t="n"/>
      <c r="X24" s="7" t="n"/>
      <c r="Y24" s="7" t="n"/>
      <c r="Z24" s="7" t="n"/>
    </row>
    <row r="25" ht="18" customHeight="1" s="1">
      <c r="A25" s="139" t="n"/>
      <c r="B25" s="141" t="n"/>
      <c r="C25" s="143" t="n"/>
      <c r="D25" s="173" t="n"/>
      <c r="E25" s="173" t="n"/>
      <c r="F25" s="173" t="n"/>
      <c r="G25" s="173" t="n"/>
      <c r="H25" s="173" t="n"/>
      <c r="I25" s="173" t="n"/>
      <c r="J25" s="92" t="n"/>
      <c r="K25" s="7" t="n"/>
      <c r="L25" s="7" t="n"/>
      <c r="M25" s="7" t="n"/>
      <c r="N25" s="7" t="n"/>
      <c r="O25" s="7" t="n"/>
      <c r="P25" s="7" t="n"/>
      <c r="Q25" s="7" t="n"/>
      <c r="R25" s="7" t="n"/>
      <c r="S25" s="7" t="n"/>
      <c r="T25" s="7" t="n"/>
      <c r="U25" s="7" t="n"/>
      <c r="V25" s="7" t="n"/>
      <c r="W25" s="7" t="n"/>
      <c r="X25" s="7" t="n"/>
      <c r="Y25" s="7" t="n"/>
      <c r="Z25" s="7" t="n"/>
    </row>
    <row r="26" ht="18" customHeight="1" s="1">
      <c r="A26" s="139" t="n"/>
      <c r="B26" s="141" t="n"/>
      <c r="C26" s="143" t="n"/>
      <c r="D26" s="173" t="n"/>
      <c r="E26" s="173" t="n"/>
      <c r="F26" s="173" t="n"/>
      <c r="G26" s="173" t="n"/>
      <c r="H26" s="173" t="n"/>
      <c r="I26" s="173" t="n"/>
      <c r="J26" s="92" t="n"/>
      <c r="K26" s="7" t="n"/>
      <c r="L26" s="7" t="n"/>
      <c r="M26" s="7" t="n"/>
      <c r="N26" s="7" t="n"/>
      <c r="O26" s="7" t="n"/>
      <c r="P26" s="7" t="n"/>
      <c r="Q26" s="7" t="n"/>
      <c r="R26" s="7" t="n"/>
      <c r="S26" s="7" t="n"/>
      <c r="T26" s="7" t="n"/>
      <c r="U26" s="7" t="n"/>
      <c r="V26" s="7" t="n"/>
      <c r="W26" s="7" t="n"/>
      <c r="X26" s="7" t="n"/>
      <c r="Y26" s="7" t="n"/>
      <c r="Z26" s="7" t="n"/>
    </row>
    <row r="27" ht="18" customHeight="1" s="1">
      <c r="A27" s="139" t="n"/>
      <c r="B27" s="141" t="n"/>
      <c r="C27" s="143" t="n"/>
      <c r="D27" s="173" t="n"/>
      <c r="E27" s="173" t="n"/>
      <c r="F27" s="173" t="n"/>
      <c r="G27" s="173" t="n"/>
      <c r="H27" s="173" t="n"/>
      <c r="I27" s="173" t="n"/>
      <c r="J27" s="92" t="n"/>
      <c r="K27" s="7" t="n"/>
      <c r="L27" s="7" t="n"/>
      <c r="M27" s="7" t="n"/>
      <c r="N27" s="7" t="n"/>
      <c r="O27" s="7" t="n"/>
      <c r="P27" s="7" t="n"/>
      <c r="Q27" s="7" t="n"/>
      <c r="R27" s="7" t="n"/>
      <c r="S27" s="7" t="n"/>
      <c r="T27" s="7" t="n"/>
      <c r="U27" s="7" t="n"/>
      <c r="V27" s="7" t="n"/>
      <c r="W27" s="7" t="n"/>
      <c r="X27" s="7" t="n"/>
      <c r="Y27" s="7" t="n"/>
      <c r="Z27" s="7" t="n"/>
    </row>
    <row r="28" ht="18" customHeight="1" s="1">
      <c r="A28" s="139" t="n"/>
      <c r="B28" s="141" t="n"/>
      <c r="C28" s="143" t="n"/>
      <c r="D28" s="173" t="n"/>
      <c r="E28" s="173" t="n"/>
      <c r="F28" s="173" t="n"/>
      <c r="G28" s="173" t="n"/>
      <c r="H28" s="173" t="n"/>
      <c r="I28" s="173" t="n"/>
      <c r="J28" s="92" t="n"/>
      <c r="K28" s="7" t="n"/>
      <c r="L28" s="7" t="n"/>
      <c r="M28" s="7" t="n"/>
      <c r="N28" s="7" t="n"/>
      <c r="O28" s="7" t="n"/>
      <c r="P28" s="7" t="n"/>
      <c r="Q28" s="7" t="n"/>
      <c r="R28" s="7" t="n"/>
      <c r="S28" s="7" t="n"/>
      <c r="T28" s="7" t="n"/>
      <c r="U28" s="7" t="n"/>
      <c r="V28" s="7" t="n"/>
      <c r="W28" s="7" t="n"/>
      <c r="X28" s="7" t="n"/>
      <c r="Y28" s="7" t="n"/>
      <c r="Z28" s="7" t="n"/>
    </row>
    <row r="29" ht="18" customHeight="1" s="1">
      <c r="A29" s="139" t="n"/>
      <c r="B29" s="141" t="n"/>
      <c r="C29" s="143" t="n"/>
      <c r="D29" s="173" t="n"/>
      <c r="E29" s="173" t="n"/>
      <c r="F29" s="173" t="n"/>
      <c r="G29" s="173" t="n"/>
      <c r="H29" s="173" t="n"/>
      <c r="I29" s="173" t="n"/>
      <c r="J29" s="92" t="n"/>
      <c r="K29" s="7" t="n"/>
      <c r="L29" s="7" t="n"/>
      <c r="M29" s="7" t="n"/>
      <c r="N29" s="7" t="n"/>
      <c r="O29" s="7" t="n"/>
      <c r="P29" s="7" t="n"/>
      <c r="Q29" s="7" t="n"/>
      <c r="R29" s="7" t="n"/>
      <c r="S29" s="7" t="n"/>
      <c r="T29" s="7" t="n"/>
      <c r="U29" s="7" t="n"/>
      <c r="V29" s="7" t="n"/>
      <c r="W29" s="7" t="n"/>
      <c r="X29" s="7" t="n"/>
      <c r="Y29" s="7" t="n"/>
      <c r="Z29" s="7" t="n"/>
    </row>
    <row r="30" ht="18" customHeight="1" s="1">
      <c r="A30" s="139" t="n"/>
      <c r="B30" s="141" t="n"/>
      <c r="C30" s="145" t="n"/>
      <c r="D30" s="173" t="n"/>
      <c r="E30" s="173" t="n"/>
      <c r="F30" s="173" t="n"/>
      <c r="G30" s="173" t="n"/>
      <c r="H30" s="173" t="n"/>
      <c r="I30" s="173" t="n"/>
      <c r="J30" s="92" t="n"/>
      <c r="K30" s="7" t="n"/>
      <c r="L30" s="7" t="n"/>
      <c r="M30" s="7" t="n"/>
      <c r="N30" s="7" t="n"/>
      <c r="O30" s="7" t="n"/>
      <c r="P30" s="7" t="n"/>
      <c r="Q30" s="7" t="n"/>
      <c r="R30" s="7" t="n"/>
      <c r="S30" s="7" t="n"/>
      <c r="T30" s="7" t="n"/>
      <c r="U30" s="7" t="n"/>
      <c r="V30" s="7" t="n"/>
      <c r="W30" s="7" t="n"/>
      <c r="X30" s="7" t="n"/>
      <c r="Y30" s="7" t="n"/>
      <c r="Z30" s="7" t="n"/>
    </row>
    <row r="31" ht="18" customHeight="1" s="1">
      <c r="A31" s="139" t="n"/>
      <c r="B31" s="141" t="n"/>
      <c r="C31" s="143" t="n"/>
      <c r="D31" s="173" t="n"/>
      <c r="E31" s="173" t="n"/>
      <c r="F31" s="173" t="n"/>
      <c r="G31" s="173" t="n"/>
      <c r="H31" s="173" t="n"/>
      <c r="I31" s="173" t="n"/>
      <c r="J31" s="92" t="n"/>
      <c r="K31" s="7" t="n"/>
      <c r="L31" s="7" t="n"/>
      <c r="M31" s="7" t="n"/>
      <c r="N31" s="7" t="n"/>
      <c r="O31" s="7" t="n"/>
      <c r="P31" s="7" t="n"/>
      <c r="Q31" s="7" t="n"/>
      <c r="R31" s="7" t="n"/>
      <c r="S31" s="7" t="n"/>
      <c r="T31" s="7" t="n"/>
      <c r="U31" s="7" t="n"/>
      <c r="V31" s="7" t="n"/>
      <c r="W31" s="7" t="n"/>
      <c r="X31" s="7" t="n"/>
      <c r="Y31" s="7" t="n"/>
      <c r="Z31" s="7" t="n"/>
    </row>
    <row r="32" ht="18" customHeight="1" s="1">
      <c r="A32" s="139" t="n"/>
      <c r="B32" s="141" t="n"/>
      <c r="C32" s="143" t="n"/>
      <c r="D32" s="173" t="n"/>
      <c r="E32" s="173" t="n"/>
      <c r="F32" s="173" t="n"/>
      <c r="G32" s="173" t="n"/>
      <c r="H32" s="173" t="n"/>
      <c r="I32" s="173" t="n"/>
      <c r="J32" s="92" t="n"/>
      <c r="K32" s="7" t="n"/>
      <c r="L32" s="7" t="n"/>
      <c r="M32" s="7" t="n"/>
      <c r="N32" s="7" t="n"/>
      <c r="O32" s="7" t="n"/>
      <c r="P32" s="7" t="n"/>
      <c r="Q32" s="7" t="n"/>
      <c r="R32" s="7" t="n"/>
      <c r="S32" s="7" t="n"/>
      <c r="T32" s="7" t="n"/>
      <c r="U32" s="7" t="n"/>
      <c r="V32" s="7" t="n"/>
      <c r="W32" s="7" t="n"/>
      <c r="X32" s="7" t="n"/>
      <c r="Y32" s="7" t="n"/>
      <c r="Z32" s="7" t="n"/>
    </row>
    <row r="33" ht="18" customHeight="1" s="1">
      <c r="A33" s="139" t="n"/>
      <c r="B33" s="141" t="n"/>
      <c r="C33" s="143" t="n"/>
      <c r="D33" s="173" t="n"/>
      <c r="E33" s="173" t="n"/>
      <c r="F33" s="173" t="n"/>
      <c r="G33" s="173" t="n"/>
      <c r="H33" s="173" t="n"/>
      <c r="I33" s="173" t="n"/>
      <c r="J33" s="92" t="n"/>
      <c r="K33" s="7" t="n"/>
      <c r="L33" s="7" t="n"/>
      <c r="M33" s="7" t="n"/>
      <c r="N33" s="7" t="n"/>
      <c r="O33" s="7" t="n"/>
      <c r="P33" s="7" t="n"/>
      <c r="Q33" s="7" t="n"/>
      <c r="R33" s="7" t="n"/>
      <c r="S33" s="7" t="n"/>
      <c r="T33" s="7" t="n"/>
      <c r="U33" s="7" t="n"/>
      <c r="V33" s="7" t="n"/>
      <c r="W33" s="7" t="n"/>
      <c r="X33" s="7" t="n"/>
      <c r="Y33" s="7" t="n"/>
      <c r="Z33" s="7" t="n"/>
    </row>
    <row r="34" ht="18" customHeight="1" s="1">
      <c r="A34" s="139" t="n"/>
      <c r="B34" s="141" t="n"/>
      <c r="C34" s="143" t="n"/>
      <c r="D34" s="173" t="n"/>
      <c r="E34" s="173" t="n"/>
      <c r="F34" s="173" t="n"/>
      <c r="G34" s="173" t="n"/>
      <c r="H34" s="173" t="n"/>
      <c r="I34" s="173" t="n"/>
      <c r="J34" s="92" t="n"/>
      <c r="K34" s="7" t="n"/>
      <c r="L34" s="7" t="n"/>
      <c r="M34" s="7" t="n"/>
      <c r="N34" s="7" t="n"/>
      <c r="O34" s="7" t="n"/>
      <c r="P34" s="7" t="n"/>
      <c r="Q34" s="7" t="n"/>
      <c r="R34" s="7" t="n"/>
      <c r="S34" s="7" t="n"/>
      <c r="T34" s="7" t="n"/>
      <c r="U34" s="7" t="n"/>
      <c r="V34" s="7" t="n"/>
      <c r="W34" s="7" t="n"/>
      <c r="X34" s="7" t="n"/>
      <c r="Y34" s="7" t="n"/>
      <c r="Z34" s="7" t="n"/>
    </row>
    <row r="35" ht="18" customHeight="1" s="1">
      <c r="A35" s="139" t="n"/>
      <c r="B35" s="141" t="n"/>
      <c r="C35" s="143" t="n"/>
      <c r="D35" s="173" t="n"/>
      <c r="E35" s="173" t="n"/>
      <c r="F35" s="173" t="n"/>
      <c r="G35" s="173" t="n"/>
      <c r="H35" s="173" t="n"/>
      <c r="I35" s="173" t="n"/>
      <c r="J35" s="92" t="n"/>
      <c r="K35" s="7" t="n"/>
      <c r="L35" s="7" t="n"/>
      <c r="M35" s="7" t="n"/>
      <c r="N35" s="7" t="n"/>
      <c r="O35" s="7" t="n"/>
      <c r="P35" s="7" t="n"/>
      <c r="Q35" s="7" t="n"/>
      <c r="R35" s="7" t="n"/>
      <c r="S35" s="7" t="n"/>
      <c r="T35" s="7" t="n"/>
      <c r="U35" s="7" t="n"/>
      <c r="V35" s="7" t="n"/>
      <c r="W35" s="7" t="n"/>
      <c r="X35" s="7" t="n"/>
      <c r="Y35" s="7" t="n"/>
      <c r="Z35" s="7" t="n"/>
    </row>
    <row r="36" ht="18" customHeight="1" s="1">
      <c r="A36" s="139" t="n"/>
      <c r="B36" s="141" t="n"/>
      <c r="C36" s="143" t="n"/>
      <c r="D36" s="173" t="n"/>
      <c r="E36" s="173" t="n"/>
      <c r="F36" s="173" t="n"/>
      <c r="G36" s="173" t="n"/>
      <c r="H36" s="173" t="n"/>
      <c r="I36" s="173" t="n"/>
      <c r="J36" s="92" t="n"/>
      <c r="K36" s="7" t="n"/>
      <c r="L36" s="7" t="n"/>
      <c r="M36" s="7" t="n"/>
      <c r="N36" s="7" t="n"/>
      <c r="O36" s="7" t="n"/>
      <c r="P36" s="7" t="n"/>
      <c r="Q36" s="7" t="n"/>
      <c r="R36" s="7" t="n"/>
      <c r="S36" s="7" t="n"/>
      <c r="T36" s="7" t="n"/>
      <c r="U36" s="7" t="n"/>
      <c r="V36" s="7" t="n"/>
      <c r="W36" s="7" t="n"/>
      <c r="X36" s="7" t="n"/>
      <c r="Y36" s="7" t="n"/>
      <c r="Z36" s="7" t="n"/>
    </row>
    <row r="37" ht="18" customHeight="1" s="1">
      <c r="A37" s="139" t="n"/>
      <c r="B37" s="141" t="n"/>
      <c r="C37" s="143" t="n"/>
      <c r="D37" s="173" t="n"/>
      <c r="E37" s="173" t="n"/>
      <c r="F37" s="173" t="n"/>
      <c r="G37" s="173" t="n"/>
      <c r="H37" s="173" t="n"/>
      <c r="I37" s="173" t="n"/>
      <c r="J37" s="92" t="n"/>
      <c r="K37" s="7" t="n"/>
      <c r="L37" s="7" t="n"/>
      <c r="M37" s="7" t="n"/>
      <c r="N37" s="7" t="n"/>
      <c r="O37" s="7" t="n"/>
      <c r="P37" s="7" t="n"/>
      <c r="Q37" s="7" t="n"/>
      <c r="R37" s="7" t="n"/>
      <c r="S37" s="7" t="n"/>
      <c r="T37" s="7" t="n"/>
      <c r="U37" s="7" t="n"/>
      <c r="V37" s="7" t="n"/>
      <c r="W37" s="7" t="n"/>
      <c r="X37" s="7" t="n"/>
      <c r="Y37" s="7" t="n"/>
      <c r="Z37" s="7" t="n"/>
    </row>
    <row r="38" ht="18" customHeight="1" s="1">
      <c r="A38" s="139" t="n"/>
      <c r="B38" s="141" t="n"/>
      <c r="C38" s="143" t="n"/>
      <c r="D38" s="173" t="n"/>
      <c r="E38" s="173" t="n"/>
      <c r="F38" s="173" t="n"/>
      <c r="G38" s="173" t="n"/>
      <c r="H38" s="173" t="n"/>
      <c r="I38" s="173" t="n"/>
      <c r="J38" s="92" t="n"/>
      <c r="K38" s="7" t="n"/>
      <c r="L38" s="7" t="n"/>
      <c r="M38" s="7" t="n"/>
      <c r="N38" s="7" t="n"/>
      <c r="O38" s="7" t="n"/>
      <c r="P38" s="7" t="n"/>
      <c r="Q38" s="7" t="n"/>
      <c r="R38" s="7" t="n"/>
      <c r="S38" s="7" t="n"/>
      <c r="T38" s="7" t="n"/>
      <c r="U38" s="7" t="n"/>
      <c r="V38" s="7" t="n"/>
      <c r="W38" s="7" t="n"/>
      <c r="X38" s="7" t="n"/>
      <c r="Y38" s="7" t="n"/>
      <c r="Z38" s="7" t="n"/>
    </row>
    <row r="39" ht="18" customHeight="1" s="1">
      <c r="A39" s="139" t="n"/>
      <c r="B39" s="141" t="n"/>
      <c r="C39" s="143" t="n"/>
      <c r="D39" s="173" t="n"/>
      <c r="E39" s="173" t="n"/>
      <c r="F39" s="173" t="n"/>
      <c r="G39" s="173" t="n"/>
      <c r="H39" s="173" t="n"/>
      <c r="I39" s="173" t="n"/>
      <c r="J39" s="92" t="n"/>
      <c r="K39" s="7" t="n"/>
      <c r="L39" s="7" t="n"/>
      <c r="M39" s="7" t="n"/>
      <c r="N39" s="7" t="n"/>
      <c r="O39" s="7" t="n"/>
      <c r="P39" s="7" t="n"/>
      <c r="Q39" s="7" t="n"/>
      <c r="R39" s="7" t="n"/>
      <c r="S39" s="7" t="n"/>
      <c r="T39" s="7" t="n"/>
      <c r="U39" s="7" t="n"/>
      <c r="V39" s="7" t="n"/>
      <c r="W39" s="7" t="n"/>
      <c r="X39" s="7" t="n"/>
      <c r="Y39" s="7" t="n"/>
      <c r="Z39" s="7" t="n"/>
    </row>
    <row r="40" ht="18" customHeight="1" s="1">
      <c r="A40" s="139" t="n"/>
      <c r="B40" s="141" t="n"/>
      <c r="C40" s="143" t="n"/>
      <c r="D40" s="173" t="n"/>
      <c r="E40" s="173" t="n"/>
      <c r="F40" s="173" t="n"/>
      <c r="G40" s="173" t="n"/>
      <c r="H40" s="173" t="n"/>
      <c r="I40" s="173" t="n"/>
      <c r="J40" s="92" t="n"/>
      <c r="K40" s="7" t="n"/>
      <c r="L40" s="7" t="n"/>
      <c r="M40" s="7" t="n"/>
      <c r="N40" s="7" t="n"/>
      <c r="O40" s="7" t="n"/>
      <c r="P40" s="7" t="n"/>
      <c r="Q40" s="7" t="n"/>
      <c r="R40" s="7" t="n"/>
      <c r="S40" s="7" t="n"/>
      <c r="T40" s="7" t="n"/>
      <c r="U40" s="7" t="n"/>
      <c r="V40" s="7" t="n"/>
      <c r="W40" s="7" t="n"/>
      <c r="X40" s="7" t="n"/>
      <c r="Y40" s="7" t="n"/>
      <c r="Z40" s="7" t="n"/>
    </row>
    <row r="41" ht="18" customHeight="1" s="1">
      <c r="A41" s="139" t="n"/>
      <c r="B41" s="141" t="n"/>
      <c r="C41" s="143" t="n"/>
      <c r="D41" s="173" t="n"/>
      <c r="E41" s="173" t="n"/>
      <c r="F41" s="173" t="n"/>
      <c r="G41" s="173" t="n"/>
      <c r="H41" s="173" t="n"/>
      <c r="I41" s="173" t="n"/>
      <c r="J41" s="92" t="n"/>
      <c r="K41" s="7" t="n"/>
      <c r="L41" s="7" t="n"/>
      <c r="M41" s="7" t="n"/>
      <c r="N41" s="7" t="n"/>
      <c r="O41" s="7" t="n"/>
      <c r="P41" s="7" t="n"/>
      <c r="Q41" s="7" t="n"/>
      <c r="R41" s="7" t="n"/>
      <c r="S41" s="7" t="n"/>
      <c r="T41" s="7" t="n"/>
      <c r="U41" s="7" t="n"/>
      <c r="V41" s="7" t="n"/>
      <c r="W41" s="7" t="n"/>
      <c r="X41" s="7" t="n"/>
      <c r="Y41" s="7" t="n"/>
      <c r="Z41" s="7" t="n"/>
    </row>
    <row r="42" ht="18" customHeight="1" s="1">
      <c r="A42" s="139" t="n"/>
      <c r="B42" s="141" t="n"/>
      <c r="C42" s="143" t="n"/>
      <c r="D42" s="173" t="n"/>
      <c r="E42" s="173" t="n"/>
      <c r="F42" s="173" t="n"/>
      <c r="G42" s="173" t="n"/>
      <c r="H42" s="173" t="n"/>
      <c r="I42" s="173" t="n"/>
      <c r="J42" s="92" t="n"/>
      <c r="K42" s="7" t="n"/>
      <c r="L42" s="7" t="n"/>
      <c r="M42" s="7" t="n"/>
      <c r="N42" s="7" t="n"/>
      <c r="O42" s="7" t="n"/>
      <c r="P42" s="7" t="n"/>
      <c r="Q42" s="7" t="n"/>
      <c r="R42" s="7" t="n"/>
      <c r="S42" s="7" t="n"/>
      <c r="T42" s="7" t="n"/>
      <c r="U42" s="7" t="n"/>
      <c r="V42" s="7" t="n"/>
      <c r="W42" s="7" t="n"/>
      <c r="X42" s="7" t="n"/>
      <c r="Y42" s="7" t="n"/>
      <c r="Z42" s="7" t="n"/>
    </row>
    <row r="43" ht="18" customHeight="1" s="1">
      <c r="A43" s="139" t="n"/>
      <c r="B43" s="141" t="n"/>
      <c r="C43" s="143" t="n"/>
      <c r="D43" s="173" t="n"/>
      <c r="E43" s="173" t="n"/>
      <c r="F43" s="173" t="n"/>
      <c r="G43" s="173" t="n"/>
      <c r="H43" s="173" t="n"/>
      <c r="I43" s="173" t="n"/>
      <c r="J43" s="92" t="n"/>
      <c r="K43" s="7" t="n"/>
      <c r="L43" s="7" t="n"/>
      <c r="M43" s="7" t="n"/>
      <c r="N43" s="7" t="n"/>
      <c r="O43" s="7" t="n"/>
      <c r="P43" s="7" t="n"/>
      <c r="Q43" s="7" t="n"/>
      <c r="R43" s="7" t="n"/>
      <c r="S43" s="7" t="n"/>
      <c r="T43" s="7" t="n"/>
      <c r="U43" s="7" t="n"/>
      <c r="V43" s="7" t="n"/>
      <c r="W43" s="7" t="n"/>
      <c r="X43" s="7" t="n"/>
      <c r="Y43" s="7" t="n"/>
      <c r="Z43" s="7" t="n"/>
    </row>
    <row r="44" ht="18" customHeight="1" s="1">
      <c r="A44" s="139" t="n"/>
      <c r="B44" s="141" t="n"/>
      <c r="C44" s="143" t="n"/>
      <c r="D44" s="173" t="n"/>
      <c r="E44" s="173" t="n"/>
      <c r="F44" s="173" t="n"/>
      <c r="G44" s="173" t="n"/>
      <c r="H44" s="173" t="n"/>
      <c r="I44" s="173" t="n"/>
      <c r="J44" s="92" t="n"/>
      <c r="K44" s="7" t="n"/>
      <c r="L44" s="7" t="n"/>
      <c r="M44" s="7" t="n"/>
      <c r="N44" s="7" t="n"/>
      <c r="O44" s="7" t="n"/>
      <c r="P44" s="7" t="n"/>
      <c r="Q44" s="7" t="n"/>
      <c r="R44" s="7" t="n"/>
      <c r="S44" s="7" t="n"/>
      <c r="T44" s="7" t="n"/>
      <c r="U44" s="7" t="n"/>
      <c r="V44" s="7" t="n"/>
      <c r="W44" s="7" t="n"/>
      <c r="X44" s="7" t="n"/>
      <c r="Y44" s="7" t="n"/>
      <c r="Z44" s="7" t="n"/>
    </row>
    <row r="45" ht="18" customHeight="1" s="1">
      <c r="A45" s="139" t="n"/>
      <c r="B45" s="141" t="n"/>
      <c r="C45" s="143" t="n"/>
      <c r="D45" s="173" t="n"/>
      <c r="E45" s="173" t="n"/>
      <c r="F45" s="173" t="n"/>
      <c r="G45" s="173" t="n"/>
      <c r="H45" s="173" t="n"/>
      <c r="I45" s="173" t="n"/>
      <c r="J45" s="92" t="n"/>
      <c r="K45" s="7" t="n"/>
      <c r="L45" s="7" t="n"/>
      <c r="M45" s="7" t="n"/>
      <c r="N45" s="7" t="n"/>
      <c r="O45" s="7" t="n"/>
      <c r="P45" s="7" t="n"/>
      <c r="Q45" s="7" t="n"/>
      <c r="R45" s="7" t="n"/>
      <c r="S45" s="7" t="n"/>
      <c r="T45" s="7" t="n"/>
      <c r="U45" s="7" t="n"/>
      <c r="V45" s="7" t="n"/>
      <c r="W45" s="7" t="n"/>
      <c r="X45" s="7" t="n"/>
      <c r="Y45" s="7" t="n"/>
      <c r="Z45" s="7" t="n"/>
    </row>
    <row r="46" ht="18" customHeight="1" s="1">
      <c r="A46" s="139" t="n"/>
      <c r="B46" s="141" t="n"/>
      <c r="C46" s="143" t="n"/>
      <c r="D46" s="173" t="n"/>
      <c r="E46" s="173" t="n"/>
      <c r="F46" s="173" t="n"/>
      <c r="G46" s="173" t="n"/>
      <c r="H46" s="173" t="n"/>
      <c r="I46" s="173" t="n"/>
      <c r="J46" s="92" t="n"/>
      <c r="K46" s="7" t="n"/>
      <c r="L46" s="7" t="n"/>
      <c r="M46" s="7" t="n"/>
      <c r="N46" s="7" t="n"/>
      <c r="O46" s="7" t="n"/>
      <c r="P46" s="7" t="n"/>
      <c r="Q46" s="7" t="n"/>
      <c r="R46" s="7" t="n"/>
      <c r="S46" s="7" t="n"/>
      <c r="T46" s="7" t="n"/>
      <c r="U46" s="7" t="n"/>
      <c r="V46" s="7" t="n"/>
      <c r="W46" s="7" t="n"/>
      <c r="X46" s="7" t="n"/>
      <c r="Y46" s="7" t="n"/>
      <c r="Z46" s="7" t="n"/>
    </row>
    <row r="47" ht="18" customHeight="1" s="1">
      <c r="A47" s="139" t="n"/>
      <c r="B47" s="141" t="n"/>
      <c r="C47" s="143" t="n"/>
      <c r="D47" s="173" t="n"/>
      <c r="E47" s="173" t="n"/>
      <c r="F47" s="173" t="n"/>
      <c r="G47" s="173" t="n"/>
      <c r="H47" s="173" t="n"/>
      <c r="I47" s="173" t="n"/>
      <c r="J47" s="92" t="n"/>
      <c r="K47" s="7" t="n"/>
      <c r="L47" s="7" t="n"/>
      <c r="M47" s="7" t="n"/>
      <c r="N47" s="7" t="n"/>
      <c r="O47" s="7" t="n"/>
      <c r="P47" s="7" t="n"/>
      <c r="Q47" s="7" t="n"/>
      <c r="R47" s="7" t="n"/>
      <c r="S47" s="7" t="n"/>
      <c r="T47" s="7" t="n"/>
      <c r="U47" s="7" t="n"/>
      <c r="V47" s="7" t="n"/>
      <c r="W47" s="7" t="n"/>
      <c r="X47" s="7" t="n"/>
      <c r="Y47" s="7" t="n"/>
      <c r="Z47" s="7" t="n"/>
    </row>
    <row r="48" ht="18" customHeight="1" s="1">
      <c r="A48" s="139" t="n"/>
      <c r="B48" s="141" t="n"/>
      <c r="C48" s="143" t="n"/>
      <c r="D48" s="173" t="n"/>
      <c r="E48" s="173" t="n"/>
      <c r="F48" s="173" t="n"/>
      <c r="G48" s="173" t="n"/>
      <c r="H48" s="173" t="n"/>
      <c r="I48" s="173" t="n"/>
      <c r="J48" s="92" t="n"/>
      <c r="K48" s="7" t="n"/>
      <c r="L48" s="7" t="n"/>
      <c r="M48" s="7" t="n"/>
      <c r="N48" s="7" t="n"/>
      <c r="O48" s="7" t="n"/>
      <c r="P48" s="7" t="n"/>
      <c r="Q48" s="7" t="n"/>
      <c r="R48" s="7" t="n"/>
      <c r="S48" s="7" t="n"/>
      <c r="T48" s="7" t="n"/>
      <c r="U48" s="7" t="n"/>
      <c r="V48" s="7" t="n"/>
      <c r="W48" s="7" t="n"/>
      <c r="X48" s="7" t="n"/>
      <c r="Y48" s="7" t="n"/>
      <c r="Z48" s="7" t="n"/>
    </row>
    <row r="49" ht="18" customHeight="1" s="1">
      <c r="A49" s="139" t="n"/>
      <c r="B49" s="141" t="n"/>
      <c r="C49" s="143" t="n"/>
      <c r="D49" s="173" t="n"/>
      <c r="E49" s="173" t="n"/>
      <c r="F49" s="173" t="n"/>
      <c r="G49" s="173" t="n"/>
      <c r="H49" s="173" t="n"/>
      <c r="I49" s="173" t="n"/>
      <c r="J49" s="92" t="n"/>
      <c r="K49" s="7" t="n"/>
      <c r="L49" s="7" t="n"/>
      <c r="M49" s="7" t="n"/>
      <c r="N49" s="7" t="n"/>
      <c r="O49" s="7" t="n"/>
      <c r="P49" s="7" t="n"/>
      <c r="Q49" s="7" t="n"/>
      <c r="R49" s="7" t="n"/>
      <c r="S49" s="7" t="n"/>
      <c r="T49" s="7" t="n"/>
      <c r="U49" s="7" t="n"/>
      <c r="V49" s="7" t="n"/>
      <c r="W49" s="7" t="n"/>
      <c r="X49" s="7" t="n"/>
      <c r="Y49" s="7" t="n"/>
      <c r="Z49" s="7" t="n"/>
    </row>
    <row r="50" ht="18" customHeight="1" s="1">
      <c r="A50" s="139" t="n"/>
      <c r="B50" s="141" t="n"/>
      <c r="C50" s="143" t="n"/>
      <c r="D50" s="173" t="n"/>
      <c r="E50" s="173" t="n"/>
      <c r="F50" s="173" t="n"/>
      <c r="G50" s="173" t="n"/>
      <c r="H50" s="173" t="n"/>
      <c r="I50" s="173" t="n"/>
      <c r="J50" s="92" t="n"/>
      <c r="K50" s="7" t="n"/>
      <c r="L50" s="7" t="n"/>
      <c r="M50" s="7" t="n"/>
      <c r="N50" s="7" t="n"/>
      <c r="O50" s="7" t="n"/>
      <c r="P50" s="7" t="n"/>
      <c r="Q50" s="7" t="n"/>
      <c r="R50" s="7" t="n"/>
      <c r="S50" s="7" t="n"/>
      <c r="T50" s="7" t="n"/>
      <c r="U50" s="7" t="n"/>
      <c r="V50" s="7" t="n"/>
      <c r="W50" s="7" t="n"/>
      <c r="X50" s="7" t="n"/>
      <c r="Y50" s="7" t="n"/>
      <c r="Z50" s="7" t="n"/>
    </row>
    <row r="51" ht="18" customHeight="1" s="1">
      <c r="A51" s="139" t="n"/>
      <c r="B51" s="141" t="n"/>
      <c r="C51" s="143" t="n"/>
      <c r="D51" s="173" t="n"/>
      <c r="E51" s="173" t="n"/>
      <c r="F51" s="173" t="n"/>
      <c r="G51" s="173" t="n"/>
      <c r="H51" s="173" t="n"/>
      <c r="I51" s="173" t="n"/>
      <c r="J51" s="92" t="n"/>
      <c r="K51" s="7" t="n"/>
      <c r="L51" s="7" t="n"/>
      <c r="M51" s="7" t="n"/>
      <c r="N51" s="7" t="n"/>
      <c r="O51" s="7" t="n"/>
      <c r="P51" s="7" t="n"/>
      <c r="Q51" s="7" t="n"/>
      <c r="R51" s="7" t="n"/>
      <c r="S51" s="7" t="n"/>
      <c r="T51" s="7" t="n"/>
      <c r="U51" s="7" t="n"/>
      <c r="V51" s="7" t="n"/>
      <c r="W51" s="7" t="n"/>
      <c r="X51" s="7" t="n"/>
      <c r="Y51" s="7" t="n"/>
      <c r="Z51" s="7" t="n"/>
    </row>
    <row r="52" ht="18" customHeight="1" s="1">
      <c r="A52" s="139" t="n"/>
      <c r="B52" s="141" t="n"/>
      <c r="C52" s="143" t="n"/>
      <c r="D52" s="173" t="n"/>
      <c r="E52" s="173" t="n"/>
      <c r="F52" s="173" t="n"/>
      <c r="G52" s="173" t="n"/>
      <c r="H52" s="173" t="n"/>
      <c r="I52" s="173" t="n"/>
      <c r="J52" s="92" t="n"/>
      <c r="K52" s="7" t="n"/>
      <c r="L52" s="7" t="n"/>
      <c r="M52" s="7" t="n"/>
      <c r="N52" s="7" t="n"/>
      <c r="O52" s="7" t="n"/>
      <c r="P52" s="7" t="n"/>
      <c r="Q52" s="7" t="n"/>
      <c r="R52" s="7" t="n"/>
      <c r="S52" s="7" t="n"/>
      <c r="T52" s="7" t="n"/>
      <c r="U52" s="7" t="n"/>
      <c r="V52" s="7" t="n"/>
      <c r="W52" s="7" t="n"/>
      <c r="X52" s="7" t="n"/>
      <c r="Y52" s="7" t="n"/>
      <c r="Z52" s="7" t="n"/>
    </row>
    <row r="53" ht="18" customHeight="1" s="1">
      <c r="A53" s="139" t="n"/>
      <c r="B53" s="141" t="n"/>
      <c r="C53" s="143" t="n"/>
      <c r="D53" s="173" t="n"/>
      <c r="E53" s="173" t="n"/>
      <c r="F53" s="173" t="n"/>
      <c r="G53" s="173" t="n"/>
      <c r="H53" s="173" t="n"/>
      <c r="I53" s="173" t="n"/>
      <c r="J53" s="92" t="n"/>
      <c r="K53" s="7" t="n"/>
      <c r="L53" s="7" t="n"/>
      <c r="M53" s="7" t="n"/>
      <c r="N53" s="7" t="n"/>
      <c r="O53" s="7" t="n"/>
      <c r="P53" s="7" t="n"/>
      <c r="Q53" s="7" t="n"/>
      <c r="R53" s="7" t="n"/>
      <c r="S53" s="7" t="n"/>
      <c r="T53" s="7" t="n"/>
      <c r="U53" s="7" t="n"/>
      <c r="V53" s="7" t="n"/>
      <c r="W53" s="7" t="n"/>
      <c r="X53" s="7" t="n"/>
      <c r="Y53" s="7" t="n"/>
      <c r="Z53" s="7" t="n"/>
    </row>
    <row r="54" ht="18" customHeight="1" s="1">
      <c r="A54" s="139" t="n"/>
      <c r="B54" s="141" t="n"/>
      <c r="C54" s="143" t="n"/>
      <c r="D54" s="173" t="n"/>
      <c r="E54" s="173" t="n"/>
      <c r="F54" s="173" t="n"/>
      <c r="G54" s="173" t="n"/>
      <c r="H54" s="173" t="n"/>
      <c r="I54" s="173" t="n"/>
      <c r="J54" s="92" t="n"/>
      <c r="K54" s="7" t="n"/>
      <c r="L54" s="7" t="n"/>
      <c r="M54" s="7" t="n"/>
      <c r="N54" s="7" t="n"/>
      <c r="O54" s="7" t="n"/>
      <c r="P54" s="7" t="n"/>
      <c r="Q54" s="7" t="n"/>
      <c r="R54" s="7" t="n"/>
      <c r="S54" s="7" t="n"/>
      <c r="T54" s="7" t="n"/>
      <c r="U54" s="7" t="n"/>
      <c r="V54" s="7" t="n"/>
      <c r="W54" s="7" t="n"/>
      <c r="X54" s="7" t="n"/>
      <c r="Y54" s="7" t="n"/>
      <c r="Z54" s="7" t="n"/>
    </row>
    <row r="55" ht="18" customHeight="1" s="1">
      <c r="A55" s="139" t="n"/>
      <c r="B55" s="141" t="n"/>
      <c r="C55" s="143" t="n"/>
      <c r="D55" s="173" t="n"/>
      <c r="E55" s="173" t="n"/>
      <c r="F55" s="173" t="n"/>
      <c r="G55" s="173" t="n"/>
      <c r="H55" s="173" t="n"/>
      <c r="I55" s="173" t="n"/>
      <c r="J55" s="92" t="n"/>
      <c r="K55" s="7" t="n"/>
      <c r="L55" s="7" t="n"/>
      <c r="M55" s="7" t="n"/>
      <c r="N55" s="7" t="n"/>
      <c r="O55" s="7" t="n"/>
      <c r="P55" s="7" t="n"/>
      <c r="Q55" s="7" t="n"/>
      <c r="R55" s="7" t="n"/>
      <c r="S55" s="7" t="n"/>
      <c r="T55" s="7" t="n"/>
      <c r="U55" s="7" t="n"/>
      <c r="V55" s="7" t="n"/>
      <c r="W55" s="7" t="n"/>
      <c r="X55" s="7" t="n"/>
      <c r="Y55" s="7" t="n"/>
      <c r="Z55" s="7" t="n"/>
    </row>
    <row r="56" ht="18" customHeight="1" s="1">
      <c r="A56" s="139" t="n"/>
      <c r="B56" s="141" t="n"/>
      <c r="C56" s="143" t="n"/>
      <c r="D56" s="173" t="n"/>
      <c r="E56" s="173" t="n"/>
      <c r="F56" s="173" t="n"/>
      <c r="G56" s="173" t="n"/>
      <c r="H56" s="173" t="n"/>
      <c r="I56" s="173" t="n"/>
      <c r="J56" s="92" t="n"/>
      <c r="K56" s="7" t="n"/>
      <c r="L56" s="7" t="n"/>
      <c r="M56" s="7" t="n"/>
      <c r="N56" s="7" t="n"/>
      <c r="O56" s="7" t="n"/>
      <c r="P56" s="7" t="n"/>
      <c r="Q56" s="7" t="n"/>
      <c r="R56" s="7" t="n"/>
      <c r="S56" s="7" t="n"/>
      <c r="T56" s="7" t="n"/>
      <c r="U56" s="7" t="n"/>
      <c r="V56" s="7" t="n"/>
      <c r="W56" s="7" t="n"/>
      <c r="X56" s="7" t="n"/>
      <c r="Y56" s="7" t="n"/>
      <c r="Z56" s="7" t="n"/>
    </row>
    <row r="57" ht="18" customHeight="1" s="1">
      <c r="A57" s="139" t="n"/>
      <c r="B57" s="141" t="n"/>
      <c r="C57" s="143" t="n"/>
      <c r="D57" s="173" t="n"/>
      <c r="E57" s="173" t="n"/>
      <c r="F57" s="173" t="n"/>
      <c r="G57" s="173" t="n"/>
      <c r="H57" s="173" t="n"/>
      <c r="I57" s="173" t="n"/>
      <c r="J57" s="92" t="n"/>
      <c r="K57" s="7" t="n"/>
      <c r="L57" s="7" t="n"/>
      <c r="M57" s="7" t="n"/>
      <c r="N57" s="7" t="n"/>
      <c r="O57" s="7" t="n"/>
      <c r="P57" s="7" t="n"/>
      <c r="Q57" s="7" t="n"/>
      <c r="R57" s="7" t="n"/>
      <c r="S57" s="7" t="n"/>
      <c r="T57" s="7" t="n"/>
      <c r="U57" s="7" t="n"/>
      <c r="V57" s="7" t="n"/>
      <c r="W57" s="7" t="n"/>
      <c r="X57" s="7" t="n"/>
      <c r="Y57" s="7" t="n"/>
      <c r="Z57" s="7" t="n"/>
    </row>
    <row r="58" ht="18" customHeight="1" s="1">
      <c r="A58" s="139" t="n"/>
      <c r="B58" s="141" t="n"/>
      <c r="C58" s="143" t="n"/>
      <c r="D58" s="173" t="n"/>
      <c r="E58" s="173" t="n"/>
      <c r="F58" s="173" t="n"/>
      <c r="G58" s="173" t="n"/>
      <c r="H58" s="173" t="n"/>
      <c r="I58" s="173" t="n"/>
      <c r="J58" s="92" t="n"/>
      <c r="K58" s="7" t="n"/>
      <c r="L58" s="7" t="n"/>
      <c r="M58" s="7" t="n"/>
      <c r="N58" s="7" t="n"/>
      <c r="O58" s="7" t="n"/>
      <c r="P58" s="7" t="n"/>
      <c r="Q58" s="7" t="n"/>
      <c r="R58" s="7" t="n"/>
      <c r="S58" s="7" t="n"/>
      <c r="T58" s="7" t="n"/>
      <c r="U58" s="7" t="n"/>
      <c r="V58" s="7" t="n"/>
      <c r="W58" s="7" t="n"/>
      <c r="X58" s="7" t="n"/>
      <c r="Y58" s="7" t="n"/>
      <c r="Z58" s="7" t="n"/>
    </row>
    <row r="59" ht="18" customHeight="1" s="1">
      <c r="A59" s="139" t="n"/>
      <c r="B59" s="141" t="n"/>
      <c r="C59" s="145" t="n"/>
      <c r="D59" s="173" t="n"/>
      <c r="E59" s="173" t="n"/>
      <c r="F59" s="173" t="n"/>
      <c r="G59" s="173" t="n"/>
      <c r="H59" s="173" t="n"/>
      <c r="I59" s="173" t="n"/>
      <c r="J59" s="92" t="n"/>
      <c r="K59" s="7" t="n"/>
      <c r="L59" s="7" t="n"/>
      <c r="M59" s="7" t="n"/>
      <c r="N59" s="7" t="n"/>
      <c r="O59" s="7" t="n"/>
      <c r="P59" s="7" t="n"/>
      <c r="Q59" s="7" t="n"/>
      <c r="R59" s="7" t="n"/>
      <c r="S59" s="7" t="n"/>
      <c r="T59" s="7" t="n"/>
      <c r="U59" s="7" t="n"/>
      <c r="V59" s="7" t="n"/>
      <c r="W59" s="7" t="n"/>
      <c r="X59" s="7" t="n"/>
      <c r="Y59" s="7" t="n"/>
      <c r="Z59" s="7" t="n"/>
    </row>
    <row r="60" ht="18" customHeight="1" s="1">
      <c r="A60" s="139" t="n"/>
      <c r="B60" s="146" t="n"/>
      <c r="C60" s="143" t="n"/>
      <c r="D60" s="173" t="n"/>
      <c r="E60" s="173" t="n"/>
      <c r="F60" s="173" t="n"/>
      <c r="G60" s="173" t="n"/>
      <c r="H60" s="173" t="n"/>
      <c r="I60" s="173" t="n"/>
      <c r="J60" s="92" t="n"/>
      <c r="K60" s="7" t="n"/>
      <c r="L60" s="7" t="n"/>
      <c r="M60" s="7" t="n"/>
      <c r="N60" s="7" t="n"/>
      <c r="O60" s="7" t="n"/>
      <c r="P60" s="7" t="n"/>
      <c r="Q60" s="7" t="n"/>
      <c r="R60" s="7" t="n"/>
      <c r="S60" s="7" t="n"/>
      <c r="T60" s="7" t="n"/>
      <c r="U60" s="7" t="n"/>
      <c r="V60" s="7" t="n"/>
      <c r="W60" s="7" t="n"/>
      <c r="X60" s="7" t="n"/>
      <c r="Y60" s="7" t="n"/>
      <c r="Z60" s="7" t="n"/>
    </row>
    <row r="61" ht="15" customHeight="1" s="1">
      <c r="A61" s="272" t="inlineStr">
        <is>
          <t>Number of Students Attempted</t>
        </is>
      </c>
      <c r="B61" s="216" t="n"/>
      <c r="C61" s="222" t="n"/>
      <c r="D61" s="147">
        <f>COUNTA(D3:D45)</f>
        <v/>
      </c>
      <c r="E61" s="147">
        <f>COUNTA(E3:E45)</f>
        <v/>
      </c>
      <c r="F61" s="147">
        <f>COUNTA(F3:F45)</f>
        <v/>
      </c>
      <c r="G61" s="147">
        <f>COUNTA(G3:G45)</f>
        <v/>
      </c>
      <c r="H61" s="147">
        <f>COUNTA(H3:H45)</f>
        <v/>
      </c>
      <c r="I61" s="147">
        <f>COUNTA(I3:I45)</f>
        <v/>
      </c>
      <c r="J61" s="92" t="n"/>
      <c r="K61" s="7" t="n"/>
      <c r="L61" s="7" t="n"/>
      <c r="M61" s="7" t="n"/>
      <c r="N61" s="7" t="n"/>
      <c r="O61" s="7" t="n"/>
      <c r="P61" s="7" t="n"/>
      <c r="Q61" s="7" t="n"/>
      <c r="R61" s="7" t="n"/>
      <c r="S61" s="7" t="n"/>
      <c r="T61" s="7" t="n"/>
      <c r="U61" s="7" t="n"/>
      <c r="V61" s="7" t="n"/>
      <c r="W61" s="7" t="n"/>
      <c r="X61" s="7" t="n"/>
      <c r="Y61" s="7" t="n"/>
      <c r="Z61" s="7" t="n"/>
    </row>
    <row r="62" ht="18.75" customHeight="1" s="1">
      <c r="A62" s="270" t="inlineStr">
        <is>
          <t xml:space="preserve">Number of students who awarded more than 65% </t>
        </is>
      </c>
      <c r="B62" s="216" t="n"/>
      <c r="C62" s="222" t="n"/>
      <c r="D62" s="174">
        <f>COUNTIF(D3:D45,"&gt;="&amp;0.65*D2)</f>
        <v/>
      </c>
      <c r="E62" s="174">
        <f>COUNTIF(E3:E45,"&gt;="&amp;0.65*E2)</f>
        <v/>
      </c>
      <c r="F62" s="174">
        <f>COUNTIF(F3:F45,"&gt;="&amp;0.65*F2)</f>
        <v/>
      </c>
      <c r="G62" s="174">
        <f>COUNTIF(G3:G45,"&gt;="&amp;0.65*G2)</f>
        <v/>
      </c>
      <c r="H62" s="174">
        <f>COUNTIF(H3:H45,"&gt;="&amp;0.65*H2)</f>
        <v/>
      </c>
      <c r="I62" s="174">
        <f>COUNTIF(I3:I45,"&gt;="&amp;0.65*I2)</f>
        <v/>
      </c>
      <c r="J62" s="92" t="n"/>
      <c r="K62" s="7" t="n"/>
      <c r="L62" s="7" t="n"/>
      <c r="M62" s="7" t="n"/>
      <c r="N62" s="7" t="n"/>
      <c r="O62" s="7" t="n"/>
      <c r="P62" s="7" t="n"/>
      <c r="Q62" s="7" t="n"/>
      <c r="R62" s="7" t="n"/>
      <c r="S62" s="7" t="n"/>
      <c r="T62" s="7" t="n"/>
      <c r="U62" s="7" t="n"/>
      <c r="V62" s="7" t="n"/>
      <c r="W62" s="7" t="n"/>
      <c r="X62" s="7" t="n"/>
      <c r="Y62" s="7" t="n"/>
      <c r="Z62" s="7" t="n"/>
    </row>
    <row r="63" ht="18.75" customHeight="1" s="1">
      <c r="A63" s="271" t="inlineStr">
        <is>
          <t>Percentage of students who awarded more than 65%</t>
        </is>
      </c>
      <c r="B63" s="216" t="n"/>
      <c r="C63" s="222" t="n"/>
      <c r="D63" s="148">
        <f>IF(D61&gt;0,D62/D61*100,"-")</f>
        <v/>
      </c>
      <c r="E63" s="148">
        <f>IF(E61&gt;0,E62/E61*100,"-")</f>
        <v/>
      </c>
      <c r="F63" s="148">
        <f>IF(F61&gt;0,F62/F61*100,"-")</f>
        <v/>
      </c>
      <c r="G63" s="148">
        <f>IF(G61&gt;0,G62/G61*100,"-")</f>
        <v/>
      </c>
      <c r="H63" s="148">
        <f>IF(H61&gt;0,H62/H61*100,"-")</f>
        <v/>
      </c>
      <c r="I63" s="149">
        <f>IF(I61&gt;0,I62/I61*100,"-")</f>
        <v/>
      </c>
      <c r="J63" s="92" t="n"/>
      <c r="K63" s="7" t="n"/>
      <c r="L63" s="7" t="n"/>
      <c r="M63" s="7" t="n"/>
      <c r="N63" s="7" t="n"/>
      <c r="O63" s="7" t="n"/>
      <c r="P63" s="7" t="n"/>
      <c r="Q63" s="7" t="n"/>
      <c r="R63" s="7" t="n"/>
      <c r="S63" s="7" t="n"/>
      <c r="T63" s="7" t="n"/>
      <c r="U63" s="7" t="n"/>
      <c r="V63" s="7" t="n"/>
      <c r="W63" s="7" t="n"/>
      <c r="X63" s="7" t="n"/>
      <c r="Y63" s="7" t="n"/>
      <c r="Z63" s="7" t="n"/>
    </row>
    <row r="64" ht="15" customHeight="1" s="1">
      <c r="A64" s="272" t="inlineStr">
        <is>
          <t xml:space="preserve">  CO ATTAINMENT LEVEL (&gt;=85:3,&gt;=75:2, &gt;=65:1,&lt;65:0)</t>
        </is>
      </c>
      <c r="B64" s="216" t="n"/>
      <c r="C64" s="222" t="n"/>
      <c r="D64" s="175">
        <f>IF(D2="","",IF(D63&gt;=85,3,IF(D63&gt;=75,2,IF(D63&gt;=65,1,0))))</f>
        <v/>
      </c>
      <c r="E64" s="175">
        <f>IF(E2="","",IF(E63&gt;=85,3,IF(E63&gt;=75,2,IF(E63&gt;=65,1,0))))</f>
        <v/>
      </c>
      <c r="F64" s="175">
        <f>IF(F2="","",IF(F63&gt;=85,3,IF(F63&gt;=75,2,IF(F63&gt;=65,1,0))))</f>
        <v/>
      </c>
      <c r="G64" s="175">
        <f>IF(G2="","",IF(G63&gt;=85,3,IF(G63&gt;=75,2,IF(G63&gt;=65,1,0))))</f>
        <v/>
      </c>
      <c r="H64" s="175">
        <f>IF(H2="","",IF(H63&gt;=85,3,IF(H63&gt;=75,2,IF(H63&gt;=65,1,0))))</f>
        <v/>
      </c>
      <c r="I64" s="142">
        <f>IF(I2="","",IF(I63&gt;=85,3,IF(I63&gt;=75,2,IF(I63&gt;=65,1,0))))</f>
        <v/>
      </c>
      <c r="J64" s="176" t="n"/>
      <c r="K64" s="7" t="n"/>
      <c r="L64" s="7" t="n"/>
      <c r="M64" s="7" t="n"/>
      <c r="N64" s="7" t="n"/>
      <c r="O64" s="7" t="n"/>
      <c r="P64" s="7" t="n"/>
      <c r="Q64" s="7" t="n"/>
      <c r="R64" s="7" t="n"/>
      <c r="S64" s="7" t="n"/>
      <c r="T64" s="7" t="n"/>
      <c r="U64" s="7" t="n"/>
      <c r="V64" s="7" t="n"/>
      <c r="W64" s="7" t="n"/>
      <c r="X64" s="7" t="n"/>
      <c r="Y64" s="7" t="n"/>
      <c r="Z64" s="7" t="n"/>
    </row>
    <row r="65" ht="15.75" customHeight="1" s="1">
      <c r="A65" s="177" t="n"/>
      <c r="B65" s="178" t="n"/>
      <c r="C65" s="178" t="n"/>
      <c r="D65" s="178" t="n"/>
      <c r="E65" s="178" t="n"/>
      <c r="F65" s="178" t="n"/>
      <c r="G65" s="178" t="n"/>
      <c r="H65" s="178" t="n"/>
      <c r="I65" s="178" t="n"/>
      <c r="J65" s="7" t="n"/>
      <c r="K65" s="7" t="n"/>
      <c r="L65" s="7" t="n"/>
      <c r="M65" s="7" t="n"/>
      <c r="N65" s="7" t="n"/>
      <c r="O65" s="7" t="n"/>
      <c r="P65" s="7" t="n"/>
      <c r="Q65" s="7" t="n"/>
      <c r="R65" s="7" t="n"/>
      <c r="S65" s="7" t="n"/>
      <c r="T65" s="7" t="n"/>
      <c r="U65" s="7" t="n"/>
      <c r="V65" s="7" t="n"/>
      <c r="W65" s="7" t="n"/>
      <c r="X65" s="7" t="n"/>
      <c r="Y65" s="7" t="n"/>
      <c r="Z65" s="7" t="n"/>
    </row>
    <row r="66" ht="15.75" customHeight="1" s="1">
      <c r="A66" s="150"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
      <c r="A67" s="150"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
      <c r="A68" s="150"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
      <c r="A69" s="150"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
      <c r="A70" s="150"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
      <c r="A71" s="150"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
      <c r="A72" s="150"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
      <c r="A73" s="150"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
      <c r="A74" s="150"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
      <c r="A75" s="150"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
      <c r="A76" s="150"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
      <c r="A77" s="150"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
      <c r="A78" s="150"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
      <c r="A79" s="150"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
      <c r="A80" s="150"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
      <c r="A81" s="150"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
      <c r="A82" s="150"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
      <c r="A83" s="150"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
      <c r="A84" s="150"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
      <c r="A85" s="150"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
      <c r="A86" s="150"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
      <c r="A87" s="150"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
      <c r="A88" s="150"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
      <c r="A89" s="150"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
      <c r="A90" s="150"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
      <c r="A91" s="150"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
      <c r="A92" s="150"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
      <c r="A93" s="150"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
      <c r="A94" s="150"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
      <c r="A95" s="150"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
      <c r="A96" s="150"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
      <c r="A97" s="150"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
      <c r="A98" s="150"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
      <c r="A99" s="150"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
      <c r="A100" s="150"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
      <c r="A101" s="150"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
      <c r="A102" s="150"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
      <c r="A103" s="150"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
      <c r="A104" s="150"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
      <c r="A105" s="150"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
      <c r="A106" s="150"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
      <c r="A107" s="150"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
      <c r="A108" s="150"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
      <c r="A109" s="150"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
      <c r="A110" s="150"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
      <c r="A111" s="150"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
      <c r="A112" s="150"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
      <c r="A113" s="150"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
      <c r="A114" s="150"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
      <c r="A115" s="150"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
      <c r="A116" s="150"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
      <c r="A117" s="150"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
      <c r="A118" s="150"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
      <c r="A119" s="150"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
      <c r="A120" s="150"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
      <c r="A121" s="150"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
      <c r="A122" s="150"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
      <c r="A123" s="150"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
      <c r="A124" s="150"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
      <c r="A125" s="150"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
      <c r="A126" s="150"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
      <c r="A127" s="150"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
      <c r="A128" s="150"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
      <c r="A129" s="150"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
      <c r="A130" s="150"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
      <c r="A131" s="150"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
      <c r="A132" s="150"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
      <c r="A133" s="150"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
      <c r="A134" s="150"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
      <c r="A135" s="150"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
      <c r="A136" s="150"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
      <c r="A137" s="150"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
      <c r="A138" s="150"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
      <c r="A139" s="150"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
      <c r="A140" s="150"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
      <c r="A141" s="150"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
      <c r="A142" s="150"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
      <c r="A143" s="150"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
      <c r="A144" s="150"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
      <c r="A145" s="150"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
      <c r="A146" s="150"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
      <c r="A147" s="150"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
      <c r="A148" s="150"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
      <c r="A149" s="150"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
      <c r="A150" s="150"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
      <c r="A151" s="150"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
      <c r="A152" s="150"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
      <c r="A153" s="150"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
      <c r="A154" s="150"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
      <c r="A155" s="150"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
      <c r="A156" s="150"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
      <c r="A157" s="150"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
      <c r="A158" s="150"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
      <c r="A159" s="150"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
      <c r="A160" s="150"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
      <c r="A161" s="150"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
      <c r="A162" s="150"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
      <c r="A163" s="150"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
      <c r="A164" s="150"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
      <c r="A165" s="150"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
      <c r="A166" s="150"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
      <c r="A167" s="150"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
      <c r="A168" s="150"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
      <c r="A169" s="150"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
      <c r="A170" s="150"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
      <c r="A171" s="150"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
      <c r="A172" s="150"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
      <c r="A173" s="150"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
      <c r="A174" s="150"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
      <c r="A175" s="150"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
      <c r="A176" s="150"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
      <c r="A177" s="150"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
      <c r="A178" s="150"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
      <c r="A179" s="150"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
      <c r="A180" s="150"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
      <c r="A181" s="150"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
      <c r="A182" s="150"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
      <c r="A183" s="150"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
      <c r="A184" s="150"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
      <c r="A185" s="150"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
      <c r="A186" s="150"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
      <c r="A187" s="150"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
      <c r="A188" s="150"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
      <c r="A189" s="150"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
      <c r="A190" s="150"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
      <c r="A191" s="150"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
      <c r="A192" s="150"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
      <c r="A193" s="150"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
      <c r="A194" s="150"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
      <c r="A195" s="150"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
      <c r="A196" s="150"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
      <c r="A197" s="150"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
      <c r="A198" s="150"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
      <c r="A199" s="150"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
      <c r="A200" s="150"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
      <c r="A201" s="150"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
      <c r="A202" s="150"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
      <c r="A203" s="150"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
      <c r="A204" s="150"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
      <c r="A205" s="150"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
      <c r="A206" s="150"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
      <c r="A207" s="150"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
      <c r="A208" s="150"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
      <c r="A209" s="150"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
      <c r="A210" s="150"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
      <c r="A211" s="150"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
      <c r="A212" s="150"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
      <c r="A213" s="150"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
      <c r="A214" s="150"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
      <c r="A215" s="150"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
      <c r="A216" s="150"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
      <c r="A217" s="150"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
      <c r="A218" s="150"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
      <c r="A219" s="150"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
      <c r="A220" s="150"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
      <c r="A221" s="150"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
      <c r="A222" s="150"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
      <c r="A223" s="150"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
      <c r="A224" s="150"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
      <c r="A225" s="150"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
      <c r="A226" s="150"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
      <c r="A227" s="150"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
      <c r="A228" s="150"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
      <c r="A229" s="150"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
      <c r="A230" s="150"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
      <c r="A231" s="150"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
      <c r="A232" s="150"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
      <c r="A233" s="150"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
      <c r="A234" s="150"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
      <c r="A235" s="150"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
      <c r="A236" s="150"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
      <c r="A237" s="150"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
      <c r="A238" s="150"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
      <c r="A239" s="150"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
      <c r="A240" s="150"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
      <c r="A241" s="150"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
      <c r="A242" s="150"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
      <c r="A243" s="150"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
      <c r="A244" s="150"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
      <c r="A245" s="150"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
      <c r="A246" s="150"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
      <c r="A247" s="150"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
      <c r="A248" s="150"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
      <c r="A249" s="150"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
      <c r="A250" s="150"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
      <c r="A251" s="150"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
      <c r="A252" s="150"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
      <c r="A253" s="150"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
      <c r="A254" s="150"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
      <c r="A255" s="150"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
      <c r="A256" s="150"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
      <c r="A257" s="150"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
      <c r="A258" s="150"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
      <c r="A259" s="150"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
      <c r="A260" s="150"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
      <c r="A261" s="150"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
      <c r="A262" s="150"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
      <c r="A263" s="150"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
      <c r="A264" s="150"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
      <c r="A265" s="150"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
      <c r="A266" s="150"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
      <c r="A267" s="150"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
      <c r="A268" s="150"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
      <c r="A269" s="150"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
      <c r="A270" s="150"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
      <c r="A271" s="150"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
      <c r="A272" s="150"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
      <c r="A273" s="150"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
      <c r="A274" s="150"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
      <c r="A275" s="150"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
      <c r="A276" s="150"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
      <c r="A277" s="150"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
      <c r="A278" s="150"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
      <c r="A279" s="150"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
      <c r="A280" s="150"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
      <c r="A281" s="150"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
      <c r="A282" s="150"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
      <c r="A283" s="150"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
      <c r="A284" s="150"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
      <c r="A285" s="150"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
      <c r="A286" s="150"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
      <c r="A287" s="150"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
      <c r="A288" s="150"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
      <c r="A289" s="150"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
      <c r="A290" s="150"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
      <c r="A291" s="150"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
      <c r="A292" s="150"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
      <c r="A293" s="150"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
      <c r="A294" s="150"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
      <c r="A295" s="150"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
      <c r="A296" s="150"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
      <c r="A297" s="150"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
      <c r="A298" s="150"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
      <c r="A299" s="150"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
      <c r="A300" s="150"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
      <c r="A301" s="150"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
      <c r="A302" s="150"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
      <c r="A303" s="150"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
      <c r="A304" s="150"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
      <c r="A305" s="150"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
      <c r="A306" s="150"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
      <c r="A307" s="150"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
      <c r="A308" s="150"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
      <c r="A309" s="150"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
      <c r="A310" s="150"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
      <c r="A311" s="150"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
      <c r="A312" s="150"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
      <c r="A313" s="150"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
      <c r="A314" s="150"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
      <c r="A315" s="150"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
      <c r="A316" s="150"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
      <c r="A317" s="150"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
      <c r="A318" s="150"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
      <c r="A319" s="150"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
      <c r="A320" s="150"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
      <c r="A321" s="150"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
      <c r="A322" s="150"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
      <c r="A323" s="150"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
      <c r="A324" s="150"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
      <c r="A325" s="150"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
      <c r="A326" s="150"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
      <c r="A327" s="150"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
      <c r="A328" s="150"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
      <c r="A329" s="150"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
      <c r="A330" s="150"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
      <c r="A331" s="150"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
      <c r="A332" s="150"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
      <c r="A333" s="150"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
      <c r="A334" s="150"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
      <c r="A335" s="150"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
      <c r="A336" s="150"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
      <c r="A337" s="150"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
      <c r="A338" s="150"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
      <c r="A339" s="150"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
      <c r="A340" s="150"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
      <c r="A341" s="150"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
      <c r="A342" s="150"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
      <c r="A343" s="150"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
      <c r="A344" s="150"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
      <c r="A345" s="150"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
      <c r="A346" s="150"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
      <c r="A347" s="150"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
      <c r="A348" s="150"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
      <c r="A349" s="150"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
      <c r="A350" s="150"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
      <c r="A351" s="150"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
      <c r="A352" s="150"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
      <c r="A353" s="150"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
      <c r="A354" s="150"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
      <c r="A355" s="150"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
      <c r="A356" s="150"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
      <c r="A357" s="150"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
      <c r="A358" s="150"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
      <c r="A359" s="150"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
      <c r="A360" s="150"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
      <c r="A361" s="150"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
      <c r="A362" s="150"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
      <c r="A363" s="150"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
      <c r="A364" s="150"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
      <c r="A365" s="150"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
      <c r="A366" s="150"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
      <c r="A367" s="150"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
      <c r="A368" s="150"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
      <c r="A369" s="150"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
      <c r="A370" s="150"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
      <c r="A371" s="150"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
      <c r="A372" s="150"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
      <c r="A373" s="150"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
      <c r="A374" s="150"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
      <c r="A375" s="150"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
      <c r="A376" s="150"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
      <c r="A377" s="150"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
      <c r="A378" s="150"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
      <c r="A379" s="150"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
      <c r="A380" s="150"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
      <c r="A381" s="150"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
      <c r="A382" s="150"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
      <c r="A383" s="150"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
      <c r="A384" s="150"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
      <c r="A385" s="150"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
      <c r="A386" s="150"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
      <c r="A387" s="150"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
      <c r="A388" s="150"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
      <c r="A389" s="150"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
      <c r="A390" s="150"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
      <c r="A391" s="150"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
      <c r="A392" s="150"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
      <c r="A393" s="150"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
      <c r="A394" s="150"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
      <c r="A395" s="150"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
      <c r="A396" s="150"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
      <c r="A397" s="150"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
      <c r="A398" s="150"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
      <c r="A399" s="150"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
      <c r="A400" s="150"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
      <c r="A401" s="150"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
      <c r="A402" s="150"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
      <c r="A403" s="150"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
      <c r="A404" s="150"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
      <c r="A405" s="150"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
      <c r="A406" s="150"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
      <c r="A407" s="150"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
      <c r="A408" s="150"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
      <c r="A409" s="150"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
      <c r="A410" s="150"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
      <c r="A411" s="150"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
      <c r="A412" s="150"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
      <c r="A413" s="150"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
      <c r="A414" s="150"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
      <c r="A415" s="150"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
      <c r="A416" s="150"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
      <c r="A417" s="150"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
      <c r="A418" s="150"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
      <c r="A419" s="150"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
      <c r="A420" s="150"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
      <c r="A421" s="150"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
      <c r="A422" s="150"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
      <c r="A423" s="150"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
      <c r="A424" s="150"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
      <c r="A425" s="150"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
      <c r="A426" s="150"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
      <c r="A427" s="150"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
      <c r="A428" s="150"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
      <c r="A429" s="150"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
      <c r="A430" s="150"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
      <c r="A431" s="150"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
      <c r="A432" s="150"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
      <c r="A433" s="150"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
      <c r="A434" s="150"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
      <c r="A435" s="150"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
      <c r="A436" s="150"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
      <c r="A437" s="150"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
      <c r="A438" s="150"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
      <c r="A439" s="150"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
      <c r="A440" s="150"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
      <c r="A441" s="150"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
      <c r="A442" s="150"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
      <c r="A443" s="150"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
      <c r="A444" s="150"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
      <c r="A445" s="150"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
      <c r="A446" s="150"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
      <c r="A447" s="150"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
      <c r="A448" s="150"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
      <c r="A449" s="150"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
      <c r="A450" s="150"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
      <c r="A451" s="150"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
      <c r="A452" s="150"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
      <c r="A453" s="150"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
      <c r="A454" s="150"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
      <c r="A455" s="150"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
      <c r="A456" s="150"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
      <c r="A457" s="150"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
      <c r="A458" s="150"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
      <c r="A459" s="150"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
      <c r="A460" s="150"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
      <c r="A461" s="150"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
      <c r="A462" s="150"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
      <c r="A463" s="150"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
      <c r="A464" s="150"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
      <c r="A465" s="150"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
      <c r="A466" s="150"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
      <c r="A467" s="150"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
      <c r="A468" s="150"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
      <c r="A469" s="150"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
      <c r="A470" s="150"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
      <c r="A471" s="150"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
      <c r="A472" s="150"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
      <c r="A473" s="150"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
      <c r="A474" s="150"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
      <c r="A475" s="150"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
      <c r="A476" s="150"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
      <c r="A477" s="150"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
      <c r="A478" s="150"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
      <c r="A479" s="150"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
      <c r="A480" s="150"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
      <c r="A481" s="150"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
      <c r="A482" s="150"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
      <c r="A483" s="150"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
      <c r="A484" s="150"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
      <c r="A485" s="150"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
      <c r="A486" s="150"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
      <c r="A487" s="150"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
      <c r="A488" s="150"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
      <c r="A489" s="150"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
      <c r="A490" s="150"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
      <c r="A491" s="150"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
      <c r="A492" s="150"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
      <c r="A493" s="150"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
      <c r="A494" s="150"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
      <c r="A495" s="150"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
      <c r="A496" s="150"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
      <c r="A497" s="150"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
      <c r="A498" s="150"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
      <c r="A499" s="150"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
      <c r="A500" s="150"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
      <c r="A501" s="150"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
      <c r="A502" s="150"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
      <c r="A503" s="150"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
      <c r="A504" s="150"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
      <c r="A505" s="150"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
      <c r="A506" s="150"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
      <c r="A507" s="150"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
      <c r="A508" s="150"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
      <c r="A509" s="150"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
      <c r="A510" s="150"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
      <c r="A511" s="150"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
      <c r="A512" s="150"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
      <c r="A513" s="150"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
      <c r="A514" s="150"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
      <c r="A515" s="150"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
      <c r="A516" s="150"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
      <c r="A517" s="150"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
      <c r="A518" s="150"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
      <c r="A519" s="150"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
      <c r="A520" s="150"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
      <c r="A521" s="150"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
      <c r="A522" s="150"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
      <c r="A523" s="150"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
      <c r="A524" s="150"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
      <c r="A525" s="150"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
      <c r="A526" s="150"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
      <c r="A527" s="150"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
      <c r="A528" s="150"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
      <c r="A529" s="150"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
      <c r="A530" s="150"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
      <c r="A531" s="150"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
      <c r="A532" s="150"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
      <c r="A533" s="150"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
      <c r="A534" s="150"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
      <c r="A535" s="150"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
      <c r="A536" s="150"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
      <c r="A537" s="150"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
      <c r="A538" s="150"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
      <c r="A539" s="150"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
      <c r="A540" s="150"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
      <c r="A541" s="150"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
      <c r="A542" s="150"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
      <c r="A543" s="150"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
      <c r="A544" s="150"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
      <c r="A545" s="150"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
      <c r="A546" s="150"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
      <c r="A547" s="150"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
      <c r="A548" s="150"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
      <c r="A549" s="150"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
      <c r="A550" s="150"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
      <c r="A551" s="150"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
      <c r="A552" s="150"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
      <c r="A553" s="150"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
      <c r="A554" s="150"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
      <c r="A555" s="150"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
      <c r="A556" s="150"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
      <c r="A557" s="150"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
      <c r="A558" s="150"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
      <c r="A559" s="150"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
      <c r="A560" s="150"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
      <c r="A561" s="150"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
      <c r="A562" s="150"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
      <c r="A563" s="150"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
      <c r="A564" s="150"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
      <c r="A565" s="150"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
      <c r="A566" s="150"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
      <c r="A567" s="150"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
      <c r="A568" s="150"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
      <c r="A569" s="150"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
      <c r="A570" s="150"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
      <c r="A571" s="150"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
      <c r="A572" s="150"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
      <c r="A573" s="150"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
      <c r="A574" s="150"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
      <c r="A575" s="150"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
      <c r="A576" s="150"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
      <c r="A577" s="150"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
      <c r="A578" s="150"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
      <c r="A579" s="150"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
      <c r="A580" s="150"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
      <c r="A581" s="150"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
      <c r="A582" s="150"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
      <c r="A583" s="150"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
      <c r="A584" s="150"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
      <c r="A585" s="150"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
      <c r="A586" s="150"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
      <c r="A587" s="150"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
      <c r="A588" s="150"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
      <c r="A589" s="150"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
      <c r="A590" s="150"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
      <c r="A591" s="150"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
      <c r="A592" s="150"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
      <c r="A593" s="150"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
      <c r="A594" s="150"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
      <c r="A595" s="150"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
      <c r="A596" s="150"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
      <c r="A597" s="150"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
      <c r="A598" s="150"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
      <c r="A599" s="150"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
      <c r="A600" s="150"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
      <c r="A601" s="150"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
      <c r="A602" s="150"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
      <c r="A603" s="150"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
      <c r="A604" s="150"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
      <c r="A605" s="150"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
      <c r="A606" s="150"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
      <c r="A607" s="150"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
      <c r="A608" s="150"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
      <c r="A609" s="150"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
      <c r="A610" s="150"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
      <c r="A611" s="150"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
      <c r="A612" s="150"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
      <c r="A613" s="150"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
      <c r="A614" s="150"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
      <c r="A615" s="150"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
      <c r="A616" s="150"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
      <c r="A617" s="150"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
      <c r="A618" s="150"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
      <c r="A619" s="150"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
      <c r="A620" s="150"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
      <c r="A621" s="150"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
      <c r="A622" s="150"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
      <c r="A623" s="150"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
      <c r="A624" s="150"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
      <c r="A625" s="150"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
      <c r="A626" s="150"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
      <c r="A627" s="150"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
      <c r="A628" s="150"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
      <c r="A629" s="150"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
      <c r="A630" s="150"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
      <c r="A631" s="150"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
      <c r="A632" s="150"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
      <c r="A633" s="150"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
      <c r="A634" s="150"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
      <c r="A635" s="150"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
      <c r="A636" s="150"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
      <c r="A637" s="150"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
      <c r="A638" s="150"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
      <c r="A639" s="150"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
      <c r="A640" s="150"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
      <c r="A641" s="150"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
      <c r="A642" s="150"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
      <c r="A643" s="150"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
      <c r="A644" s="150"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
      <c r="A645" s="150"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
      <c r="A646" s="150"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
      <c r="A647" s="150"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
      <c r="A648" s="150"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
      <c r="A649" s="150"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
      <c r="A650" s="150"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
      <c r="A651" s="150"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
      <c r="A652" s="150"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
      <c r="A653" s="150"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
      <c r="A654" s="150"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
      <c r="A655" s="150"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
      <c r="A656" s="150"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
      <c r="A657" s="150"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
      <c r="A658" s="150"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
      <c r="A659" s="150"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
      <c r="A660" s="150"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
      <c r="A661" s="150"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
      <c r="A662" s="150"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
      <c r="A663" s="150"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
      <c r="A664" s="150"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
      <c r="A665" s="150"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
      <c r="A666" s="150"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
      <c r="A667" s="150"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
      <c r="A668" s="150"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
      <c r="A669" s="150"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
      <c r="A670" s="150"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
      <c r="A671" s="150"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
      <c r="A672" s="150"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
      <c r="A673" s="150"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
      <c r="A674" s="150"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
      <c r="A675" s="150"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
      <c r="A676" s="150"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
      <c r="A677" s="150"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
      <c r="A678" s="150"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
      <c r="A679" s="150"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
      <c r="A680" s="150"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
      <c r="A681" s="150"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
      <c r="A682" s="150"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
      <c r="A683" s="150"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
      <c r="A684" s="150"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
      <c r="A685" s="150"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
      <c r="A686" s="150"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
      <c r="A687" s="150"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
      <c r="A688" s="150"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
      <c r="A689" s="150"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
      <c r="A690" s="150"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
      <c r="A691" s="150"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
      <c r="A692" s="150"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
      <c r="A693" s="150"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
      <c r="A694" s="150"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
      <c r="A695" s="150"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
      <c r="A696" s="150"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
      <c r="A697" s="150"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
      <c r="A698" s="150"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
      <c r="A699" s="150"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
      <c r="A700" s="150"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
      <c r="A701" s="150"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
      <c r="A702" s="150"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
      <c r="A703" s="150"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
      <c r="A704" s="150"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
      <c r="A705" s="150"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
      <c r="A706" s="150"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
      <c r="A707" s="150"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
      <c r="A708" s="150"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
      <c r="A709" s="150"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
      <c r="A710" s="150"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
      <c r="A711" s="150"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
      <c r="A712" s="150"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
      <c r="A713" s="150"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
      <c r="A714" s="150"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
      <c r="A715" s="150"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
      <c r="A716" s="150"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
      <c r="A717" s="150"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
      <c r="A718" s="150"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
      <c r="A719" s="150"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
      <c r="A720" s="150"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
      <c r="A721" s="150"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
      <c r="A722" s="150"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
      <c r="A723" s="150"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
      <c r="A724" s="150"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
      <c r="A725" s="150"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
      <c r="A726" s="150"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
      <c r="A727" s="150"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
      <c r="A728" s="150"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
      <c r="A729" s="150"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
      <c r="A730" s="150"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
      <c r="A731" s="150"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
      <c r="A732" s="150"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
      <c r="A733" s="150"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
      <c r="A734" s="150"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
      <c r="A735" s="150"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
      <c r="A736" s="150"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
      <c r="A737" s="150"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
      <c r="A738" s="150"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
      <c r="A739" s="150"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
      <c r="A740" s="150"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
      <c r="A741" s="150"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
      <c r="A742" s="150"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
      <c r="A743" s="150"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
      <c r="A744" s="150"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
      <c r="A745" s="150"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
      <c r="A746" s="150"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
      <c r="A747" s="150"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
      <c r="A748" s="150"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
      <c r="A749" s="150"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
      <c r="A750" s="150"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
      <c r="A751" s="150"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
      <c r="A752" s="150"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
      <c r="A753" s="150"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
      <c r="A754" s="150"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
      <c r="A755" s="150"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
      <c r="A756" s="150"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
      <c r="A757" s="150"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
      <c r="A758" s="150"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
      <c r="A759" s="150"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
      <c r="A760" s="150"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
      <c r="A761" s="150"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
      <c r="A762" s="150"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
      <c r="A763" s="150"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
      <c r="A764" s="150"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
      <c r="A765" s="150"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
      <c r="A766" s="150"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
      <c r="A767" s="150"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
      <c r="A768" s="150"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
      <c r="A769" s="150"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
      <c r="A770" s="150"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
      <c r="A771" s="150"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
      <c r="A772" s="150"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
      <c r="A773" s="150"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
      <c r="A774" s="150"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
      <c r="A775" s="150"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
      <c r="A776" s="150"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
      <c r="A777" s="150"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
      <c r="A778" s="150"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
      <c r="A779" s="150"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
      <c r="A780" s="150"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
      <c r="A781" s="150"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
      <c r="A782" s="150"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
      <c r="A783" s="150"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
      <c r="A784" s="150"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
      <c r="A785" s="150"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
      <c r="A786" s="150"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
      <c r="A787" s="150"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
      <c r="A788" s="150"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
      <c r="A789" s="150"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
      <c r="A790" s="150"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
      <c r="A791" s="150"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
      <c r="A792" s="150"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
      <c r="A793" s="150"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
      <c r="A794" s="150"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
      <c r="A795" s="150"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
      <c r="A796" s="150"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
      <c r="A797" s="150"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
      <c r="A798" s="150"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
      <c r="A799" s="150"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
      <c r="A800" s="150"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
      <c r="A801" s="150"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
      <c r="A802" s="150"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
      <c r="A803" s="150"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
      <c r="A804" s="150"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
      <c r="A805" s="150"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
      <c r="A806" s="150"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
      <c r="A807" s="150"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
      <c r="A808" s="150"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
      <c r="A809" s="150"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
      <c r="A810" s="150"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
      <c r="A811" s="150"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
      <c r="A812" s="150"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
      <c r="A813" s="150"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
      <c r="A814" s="150"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
      <c r="A815" s="150"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
      <c r="A816" s="150"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
      <c r="A817" s="150"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
      <c r="A818" s="150"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
      <c r="A819" s="150"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
      <c r="A820" s="150"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
      <c r="A821" s="150"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
      <c r="A822" s="150"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
      <c r="A823" s="150"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
      <c r="A824" s="150"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
      <c r="A825" s="150"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
      <c r="A826" s="150"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
      <c r="A827" s="150"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
      <c r="A828" s="150"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
      <c r="A829" s="150"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
      <c r="A830" s="150"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
      <c r="A831" s="150"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
      <c r="A832" s="150"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
      <c r="A833" s="150"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
      <c r="A834" s="150"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
      <c r="A835" s="150"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
      <c r="A836" s="150"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
      <c r="A837" s="150"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
      <c r="A838" s="150"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
      <c r="A839" s="150"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
      <c r="A840" s="150"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
      <c r="A841" s="150"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
      <c r="A842" s="150"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
      <c r="A843" s="150"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
      <c r="A844" s="150"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
      <c r="A845" s="150"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
      <c r="A846" s="150"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
      <c r="A847" s="150"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
      <c r="A848" s="150"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
      <c r="A849" s="150"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
      <c r="A850" s="150"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
      <c r="A851" s="150"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
      <c r="A852" s="150"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
      <c r="A853" s="150"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
      <c r="A854" s="150"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
      <c r="A855" s="150"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
      <c r="A856" s="150"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
      <c r="A857" s="150"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
      <c r="A858" s="150"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
      <c r="A859" s="150"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
      <c r="A860" s="150"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
      <c r="A861" s="150"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
      <c r="A862" s="150"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
      <c r="A863" s="150"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
      <c r="A864" s="150"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
      <c r="A865" s="150"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
      <c r="A866" s="150"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
      <c r="A867" s="150"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
      <c r="A868" s="150"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
      <c r="A869" s="150"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
      <c r="A870" s="150"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
      <c r="A871" s="150"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
      <c r="A872" s="150"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
      <c r="A873" s="150"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
      <c r="A874" s="150"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
      <c r="A875" s="150"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
      <c r="A876" s="150"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
      <c r="A877" s="150"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
      <c r="A878" s="150"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
      <c r="A879" s="150"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
      <c r="A880" s="150"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
      <c r="A881" s="150"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
      <c r="A882" s="150"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
      <c r="A883" s="150"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
      <c r="A884" s="150"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
      <c r="A885" s="150"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
      <c r="A886" s="150"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
      <c r="A887" s="150"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
      <c r="A888" s="150"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
      <c r="A889" s="150"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
      <c r="A890" s="150"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
      <c r="A891" s="150"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
      <c r="A892" s="150"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
      <c r="A893" s="150"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
      <c r="A894" s="150"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
      <c r="A895" s="150"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
      <c r="A896" s="150"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
      <c r="A897" s="150"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
      <c r="A898" s="150"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
      <c r="A899" s="150"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
      <c r="A900" s="150"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
      <c r="A901" s="150"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
      <c r="A902" s="150"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
      <c r="A903" s="150"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
      <c r="A904" s="150"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
      <c r="A905" s="150"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
      <c r="A906" s="150"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
      <c r="A907" s="150"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
      <c r="A908" s="150"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
      <c r="A909" s="150"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
      <c r="A910" s="150"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
      <c r="A911" s="150"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
      <c r="A912" s="150"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
      <c r="A913" s="150"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
      <c r="A914" s="150"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
      <c r="A915" s="150"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
      <c r="A916" s="150"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
      <c r="A917" s="150"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
      <c r="A918" s="150"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
      <c r="A919" s="150"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
      <c r="A920" s="150"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
      <c r="A921" s="150"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
      <c r="A922" s="150"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
      <c r="A923" s="150"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
      <c r="A924" s="150"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
      <c r="A925" s="150"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
      <c r="A926" s="150"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
      <c r="A927" s="150"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
      <c r="A928" s="150"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
      <c r="A929" s="150"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
      <c r="A930" s="150"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
      <c r="A931" s="150"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
      <c r="A932" s="150"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
      <c r="A933" s="150"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
      <c r="A934" s="150"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
      <c r="A935" s="150"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
      <c r="A936" s="150"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
      <c r="A937" s="150"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
      <c r="A938" s="150"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
      <c r="A939" s="150"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
      <c r="A940" s="150"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
      <c r="A941" s="150"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
      <c r="A942" s="150"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
      <c r="A943" s="150"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
      <c r="A944" s="150"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
      <c r="A945" s="150"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
      <c r="A946" s="150"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
      <c r="A947" s="150"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
      <c r="A948" s="150"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
      <c r="A949" s="150"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
      <c r="A950" s="150"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
      <c r="A951" s="150"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
      <c r="A952" s="150"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
      <c r="A953" s="150"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
      <c r="A954" s="150"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
      <c r="A955" s="150"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
      <c r="A956" s="150"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
      <c r="A957" s="150"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
      <c r="A958" s="150"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
      <c r="A959" s="150"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
      <c r="A960" s="150"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
      <c r="A961" s="150"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
      <c r="A962" s="150"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
      <c r="A963" s="150"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
      <c r="A964" s="150"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
      <c r="A965" s="150"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
      <c r="A966" s="150"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
      <c r="A967" s="150"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
      <c r="A968" s="150"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
      <c r="A969" s="150"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
      <c r="A970" s="150"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
      <c r="A971" s="150"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
      <c r="A972" s="150"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
      <c r="A973" s="150"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
      <c r="A974" s="150"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
      <c r="A975" s="150"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
      <c r="A976" s="150"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
      <c r="A977" s="150"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
      <c r="A978" s="150"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
      <c r="A979" s="150"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
      <c r="A980" s="150"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
      <c r="A981" s="150"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
      <c r="A982" s="150"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
      <c r="A983" s="150"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
      <c r="A984" s="150"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
      <c r="A985" s="150"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
      <c r="A986" s="150"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
      <c r="A987" s="150"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
      <c r="A988" s="150"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
      <c r="A989" s="150"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
      <c r="A990" s="150"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
      <c r="A991" s="150"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
      <c r="A992" s="150"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
      <c r="A993" s="150"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
      <c r="A994" s="150"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
      <c r="A995" s="150"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
      <c r="A996" s="150"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
      <c r="A997" s="150"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
      <c r="A998" s="150"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
      <c r="A999" s="150"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
      <c r="A1000" s="150"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
      <c r="A1001" s="150"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s="1">
      <c r="A1002" s="150"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s="1">
      <c r="A1003" s="150"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s="1">
      <c r="A1004" s="150" t="n"/>
      <c r="B1004" s="7" t="n"/>
      <c r="C1004" s="7" t="n"/>
      <c r="D1004" s="7" t="n"/>
      <c r="E1004" s="7" t="n"/>
      <c r="F1004" s="7"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s="1">
      <c r="A1005" s="150" t="n"/>
      <c r="B1005" s="7" t="n"/>
      <c r="C1005" s="7" t="n"/>
      <c r="D1005" s="7" t="n"/>
      <c r="E1005" s="7" t="n"/>
      <c r="F1005" s="7"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s="1">
      <c r="A1006" s="150" t="n"/>
      <c r="B1006" s="7" t="n"/>
      <c r="C1006" s="7" t="n"/>
      <c r="D1006" s="7" t="n"/>
      <c r="E1006" s="7" t="n"/>
      <c r="F1006" s="7"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s="1">
      <c r="A1007" s="150" t="n"/>
      <c r="B1007" s="7" t="n"/>
      <c r="C1007" s="7" t="n"/>
      <c r="D1007" s="7" t="n"/>
      <c r="E1007" s="7" t="n"/>
      <c r="F1007" s="7"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s="1">
      <c r="A1008" s="150" t="n"/>
      <c r="B1008" s="7" t="n"/>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s="1">
      <c r="A1009" s="150" t="n"/>
      <c r="B1009" s="7" t="n"/>
      <c r="C1009" s="7" t="n"/>
      <c r="D1009" s="7" t="n"/>
      <c r="E1009" s="7" t="n"/>
      <c r="F1009" s="7"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s="1">
      <c r="A1010" s="150" t="n"/>
      <c r="B1010" s="7" t="n"/>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row r="1011" ht="15.75" customHeight="1" s="1">
      <c r="A1011" s="150" t="n"/>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row>
    <row r="1012" ht="15.75" customHeight="1" s="1">
      <c r="A1012" s="150" t="n"/>
      <c r="B1012" s="7" t="n"/>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row>
    <row r="1013" ht="15.75" customHeight="1" s="1">
      <c r="A1013" s="150" t="n"/>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row>
    <row r="1014" ht="15.75" customHeight="1" s="1">
      <c r="A1014" s="150" t="n"/>
      <c r="B1014" s="7" t="n"/>
      <c r="C1014" s="7" t="n"/>
      <c r="D1014" s="7" t="n"/>
      <c r="E1014" s="7" t="n"/>
      <c r="F1014" s="7" t="n"/>
      <c r="G1014" s="7" t="n"/>
      <c r="H1014" s="7" t="n"/>
      <c r="I1014" s="7" t="n"/>
      <c r="J1014" s="7" t="n"/>
      <c r="K1014" s="7" t="n"/>
      <c r="L1014" s="7" t="n"/>
      <c r="M1014" s="7" t="n"/>
      <c r="N1014" s="7" t="n"/>
      <c r="O1014" s="7" t="n"/>
      <c r="P1014" s="7" t="n"/>
      <c r="Q1014" s="7" t="n"/>
      <c r="R1014" s="7" t="n"/>
      <c r="S1014" s="7" t="n"/>
      <c r="T1014" s="7" t="n"/>
      <c r="U1014" s="7" t="n"/>
      <c r="V1014" s="7" t="n"/>
      <c r="W1014" s="7" t="n"/>
      <c r="X1014" s="7" t="n"/>
      <c r="Y1014" s="7" t="n"/>
      <c r="Z1014" s="7" t="n"/>
    </row>
    <row r="1015" ht="15.75" customHeight="1" s="1">
      <c r="A1015" s="150" t="n"/>
      <c r="B1015" s="7"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row>
  </sheetData>
  <mergeCells count="4">
    <mergeCell ref="A62:C62"/>
    <mergeCell ref="A63:C63"/>
    <mergeCell ref="A64:C64"/>
    <mergeCell ref="A61:C61"/>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45"/>
  <sheetViews>
    <sheetView showGridLines="0" workbookViewId="0">
      <selection activeCell="A1" sqref="A1:L1"/>
    </sheetView>
  </sheetViews>
  <sheetFormatPr baseColWidth="8" defaultColWidth="12.6640625" defaultRowHeight="15" customHeight="1"/>
  <cols>
    <col width="11.88671875" customWidth="1" style="1" min="1" max="1"/>
    <col width="8.44140625" customWidth="1" style="1" min="2" max="2"/>
    <col width="7.44140625" customWidth="1" style="1" min="3" max="3"/>
    <col width="10.44140625" customWidth="1" style="1" min="4" max="4"/>
    <col width="8.44140625" customWidth="1" style="1" min="5" max="5"/>
    <col width="8.88671875" customWidth="1" style="1" min="6" max="6"/>
    <col width="7.44140625" customWidth="1" style="1" min="7" max="7"/>
    <col width="10.44140625" customWidth="1" style="1" min="8" max="8"/>
    <col width="9.88671875" customWidth="1" style="1" min="9" max="9"/>
    <col width="8.44140625" customWidth="1" style="1" min="10" max="12"/>
    <col width="8.88671875" customWidth="1" style="1" min="13" max="25"/>
    <col width="11.44140625" customWidth="1" style="1" min="26" max="26"/>
    <col width="12.6640625" customWidth="1" style="1" min="27" max="28"/>
    <col width="12.6640625" customWidth="1" style="1" min="29" max="16384"/>
  </cols>
  <sheetData>
    <row r="1" ht="18" customHeight="1" s="1">
      <c r="A1" s="274" t="inlineStr">
        <is>
          <t>Attainment Calculations</t>
        </is>
      </c>
      <c r="B1" s="224" t="n"/>
      <c r="C1" s="224" t="n"/>
      <c r="D1" s="224" t="n"/>
      <c r="E1" s="224" t="n"/>
      <c r="F1" s="224" t="n"/>
      <c r="G1" s="224" t="n"/>
      <c r="H1" s="224" t="n"/>
      <c r="I1" s="224" t="n"/>
      <c r="J1" s="224" t="n"/>
      <c r="K1" s="224" t="n"/>
      <c r="L1" s="225" t="n"/>
      <c r="M1" s="194" t="n"/>
      <c r="N1" s="198" t="n"/>
      <c r="O1" s="198" t="n"/>
      <c r="P1" s="194" t="n"/>
      <c r="Q1" s="194" t="n"/>
      <c r="R1" s="194" t="n"/>
      <c r="S1" s="194" t="n"/>
      <c r="T1" s="194" t="n"/>
      <c r="U1" s="194" t="n"/>
      <c r="V1" s="194" t="n"/>
      <c r="W1" s="194" t="n"/>
      <c r="X1" s="194" t="n"/>
      <c r="Y1" s="194" t="n"/>
      <c r="Z1" s="194" t="n"/>
    </row>
    <row r="2" ht="15" customHeight="1" s="1">
      <c r="A2" s="179" t="inlineStr">
        <is>
          <t>CO#</t>
        </is>
      </c>
      <c r="B2" s="179" t="inlineStr">
        <is>
          <t>Internal</t>
        </is>
      </c>
      <c r="C2" s="179" t="inlineStr">
        <is>
          <t>IAL</t>
        </is>
      </c>
      <c r="D2" s="179" t="inlineStr">
        <is>
          <t>University</t>
        </is>
      </c>
      <c r="E2" s="179" t="inlineStr">
        <is>
          <t>UAL</t>
        </is>
      </c>
      <c r="F2" s="179" t="inlineStr">
        <is>
          <t>CO</t>
        </is>
      </c>
      <c r="G2" s="179" t="inlineStr">
        <is>
          <t>COAL</t>
        </is>
      </c>
      <c r="H2" s="179" t="inlineStr">
        <is>
          <t>Target</t>
        </is>
      </c>
      <c r="I2" s="179" t="inlineStr">
        <is>
          <t>TL</t>
        </is>
      </c>
      <c r="J2" s="180" t="n"/>
      <c r="K2" s="194" t="n"/>
      <c r="L2" s="194" t="n"/>
      <c r="M2" s="197" t="n"/>
      <c r="N2" s="181" t="inlineStr">
        <is>
          <t>Target</t>
        </is>
      </c>
      <c r="O2" s="182">
        <f>AVERAGE(I3:I7)</f>
        <v/>
      </c>
      <c r="P2" s="75" t="n"/>
      <c r="Q2" s="194" t="n"/>
      <c r="R2" s="194" t="n"/>
      <c r="S2" s="194" t="n"/>
      <c r="T2" s="194" t="n"/>
      <c r="U2" s="194" t="n"/>
      <c r="V2" s="194" t="n"/>
      <c r="W2" s="194" t="n"/>
      <c r="X2" s="194" t="n"/>
      <c r="Y2" s="194" t="n"/>
      <c r="Z2" s="194" t="n"/>
    </row>
    <row r="3" ht="12" customHeight="1" s="1">
      <c r="A3" s="181">
        <f>'CO PO Mapping'!A9</f>
        <v/>
      </c>
      <c r="B3" s="183">
        <f>'CT1-3'!C78</f>
        <v/>
      </c>
      <c r="C3" s="121">
        <f>IF(B3&gt;=60,3,IF(B3&gt;=50,2,IF(B3&gt;=40,1,0)))</f>
        <v/>
      </c>
      <c r="D3" s="182">
        <f>'UNIVERSITY EXAM'!D$72</f>
        <v/>
      </c>
      <c r="E3" s="121">
        <f>IF(D3&gt;=60,3,IF(D3&gt;=50,2,IF(D3&gt;=40,1,0)))</f>
        <v/>
      </c>
      <c r="F3" s="182">
        <f>(0.5*B3+0.5*D3)</f>
        <v/>
      </c>
      <c r="G3" s="121">
        <f>IF(F3&gt;=60,3,IF(F3&gt;=50,2,IF(F3&gt;=40,1,0)))</f>
        <v/>
      </c>
      <c r="H3" s="122" t="n">
        <v>60</v>
      </c>
      <c r="I3" s="122" t="n">
        <v>2</v>
      </c>
      <c r="J3" s="184" t="n"/>
      <c r="K3" s="194" t="n"/>
      <c r="L3" s="194" t="n"/>
      <c r="M3" s="197" t="n"/>
      <c r="N3" s="181" t="inlineStr">
        <is>
          <t>Internal</t>
        </is>
      </c>
      <c r="O3" s="182">
        <f>AVERAGE(C3:C7)</f>
        <v/>
      </c>
      <c r="P3" s="75" t="n"/>
      <c r="Q3" s="194" t="n"/>
      <c r="R3" s="194" t="n"/>
      <c r="S3" s="194" t="n"/>
      <c r="T3" s="194" t="n"/>
      <c r="U3" s="194" t="n"/>
      <c r="V3" s="194" t="n"/>
      <c r="W3" s="194" t="n"/>
      <c r="X3" s="194" t="n"/>
      <c r="Y3" s="194" t="n"/>
      <c r="Z3" s="194" t="n"/>
    </row>
    <row r="4" ht="12" customHeight="1" s="1">
      <c r="A4" s="181">
        <f>'CO PO Mapping'!A10</f>
        <v/>
      </c>
      <c r="B4" s="183">
        <f>'CT1-3'!C79</f>
        <v/>
      </c>
      <c r="C4" s="121">
        <f>IF(B4&gt;=60,3,IF(B4&gt;=50,2,IF(B4&gt;=40,1,0)))</f>
        <v/>
      </c>
      <c r="D4" s="182">
        <f>'UNIVERSITY EXAM'!D$72</f>
        <v/>
      </c>
      <c r="E4" s="121">
        <f>IF(D4&gt;=60,3,IF(D4&gt;=50,2,IF(D4&gt;=40,1,0)))</f>
        <v/>
      </c>
      <c r="F4" s="182">
        <f>(0.5*B4+0.5*D4)</f>
        <v/>
      </c>
      <c r="G4" s="121">
        <f>IF(F4&gt;=60,3,IF(F4&gt;=50,2,IF(F4&gt;=40,1,0)))</f>
        <v/>
      </c>
      <c r="H4" s="122" t="n">
        <v>60</v>
      </c>
      <c r="I4" s="122" t="n">
        <v>2</v>
      </c>
      <c r="J4" s="184" t="n"/>
      <c r="K4" s="194" t="n"/>
      <c r="L4" s="194" t="n"/>
      <c r="M4" s="197" t="n"/>
      <c r="N4" s="181" t="inlineStr">
        <is>
          <t>University</t>
        </is>
      </c>
      <c r="O4" s="182">
        <f>AVERAGE(E3:E7)</f>
        <v/>
      </c>
      <c r="P4" s="75" t="n"/>
      <c r="Q4" s="194" t="n"/>
      <c r="R4" s="194" t="n"/>
      <c r="S4" s="194" t="n"/>
      <c r="T4" s="194" t="n"/>
      <c r="U4" s="194" t="n"/>
      <c r="V4" s="194" t="n"/>
      <c r="W4" s="194" t="n"/>
      <c r="X4" s="194" t="n"/>
      <c r="Y4" s="194" t="n"/>
      <c r="Z4" s="194" t="n"/>
    </row>
    <row r="5" ht="12" customHeight="1" s="1">
      <c r="A5" s="181">
        <f>'CO PO Mapping'!A11</f>
        <v/>
      </c>
      <c r="B5" s="183">
        <f>'CT1-3'!C80</f>
        <v/>
      </c>
      <c r="C5" s="121">
        <f>IF(B5&gt;=60,3,IF(B5&gt;=50,2,IF(B5&gt;=40,1,0)))</f>
        <v/>
      </c>
      <c r="D5" s="182">
        <f>'UNIVERSITY EXAM'!D$72</f>
        <v/>
      </c>
      <c r="E5" s="121">
        <f>IF(D5&gt;=60,3,IF(D5&gt;=50,2,IF(D5&gt;=40,1,0)))</f>
        <v/>
      </c>
      <c r="F5" s="182">
        <f>(0.5*B5+0.5*D5)</f>
        <v/>
      </c>
      <c r="G5" s="121">
        <f>IF(F5&gt;=60,3,IF(F5&gt;=50,2,IF(F5&gt;=40,1,0)))</f>
        <v/>
      </c>
      <c r="H5" s="122" t="n">
        <v>60</v>
      </c>
      <c r="I5" s="122" t="n">
        <v>2</v>
      </c>
      <c r="J5" s="184" t="n"/>
      <c r="K5" s="194" t="n"/>
      <c r="L5" s="194" t="n"/>
      <c r="M5" s="197" t="n"/>
      <c r="N5" s="181" t="inlineStr">
        <is>
          <t>Attainment</t>
        </is>
      </c>
      <c r="O5" s="182">
        <f>AVERAGE(G3:G7)</f>
        <v/>
      </c>
      <c r="P5" s="75" t="n"/>
      <c r="Q5" s="194" t="n"/>
      <c r="R5" s="194" t="n"/>
      <c r="S5" s="194" t="n"/>
      <c r="T5" s="194" t="n"/>
      <c r="U5" s="194" t="n"/>
      <c r="V5" s="194" t="n"/>
      <c r="W5" s="194" t="n"/>
      <c r="X5" s="194" t="n"/>
      <c r="Y5" s="194" t="n"/>
      <c r="Z5" s="194" t="n"/>
    </row>
    <row r="6" ht="12" customHeight="1" s="1">
      <c r="A6" s="181">
        <f>'CO PO Mapping'!A12</f>
        <v/>
      </c>
      <c r="B6" s="183">
        <f>'CT1-3'!C81</f>
        <v/>
      </c>
      <c r="C6" s="121">
        <f>IF(B6&gt;=60,3,IF(B6&gt;=50,2,IF(B6&gt;=40,1,0)))</f>
        <v/>
      </c>
      <c r="D6" s="182">
        <f>'UNIVERSITY EXAM'!D$72</f>
        <v/>
      </c>
      <c r="E6" s="121">
        <f>IF(D6&gt;=60,3,IF(D6&gt;=50,2,IF(D6&gt;=40,1,0)))</f>
        <v/>
      </c>
      <c r="F6" s="182">
        <f>(0.5*B6+0.5*D6)</f>
        <v/>
      </c>
      <c r="G6" s="121">
        <f>IF(F6&gt;=60,3,IF(F6&gt;=50,2,IF(F6&gt;=40,1,0)))</f>
        <v/>
      </c>
      <c r="H6" s="122" t="n">
        <v>60</v>
      </c>
      <c r="I6" s="122" t="n">
        <v>2</v>
      </c>
      <c r="J6" s="184" t="n"/>
      <c r="K6" s="194" t="n"/>
      <c r="L6" s="194" t="n"/>
      <c r="M6" s="194" t="n"/>
      <c r="N6" s="201" t="n"/>
      <c r="O6" s="201" t="n"/>
      <c r="P6" s="194" t="n"/>
      <c r="Q6" s="194" t="n"/>
      <c r="R6" s="194" t="n"/>
      <c r="S6" s="194" t="n"/>
      <c r="T6" s="194" t="n"/>
      <c r="U6" s="194" t="n"/>
      <c r="V6" s="194" t="n"/>
      <c r="W6" s="194" t="n"/>
      <c r="X6" s="194" t="n"/>
      <c r="Y6" s="194" t="n"/>
      <c r="Z6" s="194" t="n"/>
    </row>
    <row r="7" ht="12" customHeight="1" s="1">
      <c r="A7" s="181">
        <f>'CO PO Mapping'!A13</f>
        <v/>
      </c>
      <c r="B7" s="183">
        <f>'CT1-3'!C82</f>
        <v/>
      </c>
      <c r="C7" s="121">
        <f>IF(B7&gt;=60,3,IF(B7&gt;=50,2,IF(B7&gt;=40,1,0)))</f>
        <v/>
      </c>
      <c r="D7" s="182">
        <f>'UNIVERSITY EXAM'!D$72</f>
        <v/>
      </c>
      <c r="E7" s="121">
        <f>IF(D7&gt;=60,3,IF(D7&gt;=50,2,IF(D7&gt;=40,1,0)))</f>
        <v/>
      </c>
      <c r="F7" s="182">
        <f>(0.5*B7+0.5*D7)</f>
        <v/>
      </c>
      <c r="G7" s="121">
        <f>IF(F7&gt;=60,3,IF(F7&gt;=50,2,IF(F7&gt;=40,1,0)))</f>
        <v/>
      </c>
      <c r="H7" s="122" t="n">
        <v>60</v>
      </c>
      <c r="I7" s="122" t="n">
        <v>2</v>
      </c>
      <c r="J7" s="184" t="n"/>
      <c r="K7" s="194" t="n"/>
      <c r="L7" s="194" t="n"/>
      <c r="M7" s="194" t="n"/>
      <c r="N7" s="194" t="n"/>
      <c r="O7" s="194" t="n"/>
      <c r="P7" s="194" t="n"/>
      <c r="Q7" s="194" t="n"/>
      <c r="R7" s="194" t="n"/>
      <c r="S7" s="194" t="n"/>
      <c r="T7" s="194" t="n"/>
      <c r="U7" s="194" t="n"/>
      <c r="V7" s="194" t="n"/>
      <c r="W7" s="194" t="n"/>
      <c r="X7" s="194" t="n"/>
      <c r="Y7" s="194" t="n"/>
      <c r="Z7" s="194" t="n"/>
    </row>
    <row r="8" hidden="1" ht="12" customHeight="1" s="1">
      <c r="A8" s="181">
        <f>'CO PO Mapping'!A14</f>
        <v/>
      </c>
      <c r="B8" s="183">
        <f>'CT1-3'!C83</f>
        <v/>
      </c>
      <c r="C8" s="121">
        <f>IF(B8&gt;=60,3,IF(B8&gt;=50,2,IF(B8&gt;=40,1,0)))</f>
        <v/>
      </c>
      <c r="D8" s="182">
        <f>'UNIVERSITY EXAM'!D$72</f>
        <v/>
      </c>
      <c r="E8" s="121">
        <f>IF(D8&gt;=60,3,IF(D8&gt;=50,2,IF(D8&gt;=40,1,0)))</f>
        <v/>
      </c>
      <c r="F8" s="182">
        <f>(0.5*B8+0.5*D8)</f>
        <v/>
      </c>
      <c r="G8" s="121">
        <f>IF(F8&gt;=60,3,IF(F8&gt;=50,2,IF(F8&gt;=40,1,0)))</f>
        <v/>
      </c>
      <c r="H8" s="122" t="n">
        <v>60</v>
      </c>
      <c r="I8" s="122" t="n">
        <v>2</v>
      </c>
      <c r="J8" s="75" t="n"/>
      <c r="K8" s="194" t="n"/>
      <c r="L8" s="194" t="n"/>
      <c r="M8" s="194" t="n"/>
      <c r="N8" s="194" t="n"/>
      <c r="O8" s="194" t="n"/>
      <c r="P8" s="194" t="n"/>
      <c r="Q8" s="194" t="n"/>
      <c r="R8" s="194" t="n"/>
      <c r="S8" s="194" t="n"/>
      <c r="T8" s="194" t="n"/>
      <c r="U8" s="194" t="n"/>
      <c r="V8" s="194" t="n"/>
      <c r="W8" s="194" t="n"/>
      <c r="X8" s="194" t="n"/>
      <c r="Y8" s="194" t="n"/>
      <c r="Z8" s="194" t="n"/>
    </row>
    <row r="9" ht="12" customHeight="1" s="1">
      <c r="A9" s="201" t="n"/>
      <c r="B9" s="183">
        <f>'CT1-3'!C84</f>
        <v/>
      </c>
      <c r="C9" s="201" t="n"/>
      <c r="D9" s="201" t="n"/>
      <c r="E9" s="201" t="n"/>
      <c r="F9" s="201" t="n"/>
      <c r="G9" s="201" t="n"/>
      <c r="H9" s="201" t="n"/>
      <c r="I9" s="201" t="n"/>
      <c r="J9" s="194" t="n"/>
      <c r="K9" s="194" t="n"/>
      <c r="L9" s="194" t="n"/>
      <c r="M9" s="194" t="n"/>
      <c r="N9" s="194" t="n"/>
      <c r="O9" s="194" t="n"/>
      <c r="P9" s="194" t="n"/>
      <c r="Q9" s="194" t="n"/>
      <c r="R9" s="194" t="n"/>
      <c r="S9" s="194" t="n"/>
      <c r="T9" s="194" t="n"/>
      <c r="U9" s="194" t="n"/>
      <c r="V9" s="194" t="n"/>
      <c r="W9" s="194" t="n"/>
      <c r="X9" s="194" t="n"/>
      <c r="Y9" s="194" t="n"/>
      <c r="Z9" s="194" t="n"/>
    </row>
    <row r="10" ht="12" customHeight="1" s="1">
      <c r="A10" s="194" t="n"/>
      <c r="B10" s="194" t="n"/>
      <c r="C10" s="194" t="n"/>
      <c r="D10" s="194" t="n"/>
      <c r="E10" s="194" t="n"/>
      <c r="F10" s="194" t="n"/>
      <c r="G10" s="194" t="n"/>
      <c r="H10" s="194" t="n"/>
      <c r="I10" s="194" t="n"/>
      <c r="J10" s="194" t="n"/>
      <c r="K10" s="194" t="n"/>
      <c r="L10" s="194" t="n"/>
      <c r="M10" s="194" t="n"/>
      <c r="N10" s="194" t="n"/>
      <c r="O10" s="194" t="n"/>
      <c r="P10" s="194" t="n"/>
      <c r="Q10" s="194" t="n"/>
      <c r="R10" s="194" t="n"/>
      <c r="S10" s="194" t="n"/>
      <c r="T10" s="194" t="n"/>
      <c r="U10" s="194" t="n"/>
      <c r="V10" s="194" t="n"/>
      <c r="W10" s="194" t="n"/>
      <c r="X10" s="194" t="n"/>
      <c r="Y10" s="194" t="n"/>
      <c r="Z10" s="194" t="n"/>
    </row>
    <row r="11" ht="12" customHeight="1" s="1">
      <c r="A11" s="194" t="n"/>
      <c r="B11" s="194" t="n"/>
      <c r="C11" s="194" t="n"/>
      <c r="D11" s="194" t="n"/>
      <c r="E11" s="194" t="n"/>
      <c r="F11" s="194" t="n"/>
      <c r="G11" s="194" t="n"/>
      <c r="H11" s="185" t="n"/>
      <c r="I11" s="194" t="n"/>
      <c r="J11" s="194" t="n"/>
      <c r="K11" s="194" t="n"/>
      <c r="L11" s="194" t="n"/>
      <c r="M11" s="194" t="n"/>
      <c r="N11" s="194" t="n"/>
      <c r="O11" s="194" t="n"/>
      <c r="P11" s="194" t="n"/>
      <c r="Q11" s="194" t="n"/>
      <c r="R11" s="194" t="n"/>
      <c r="S11" s="194" t="n"/>
      <c r="T11" s="194" t="n"/>
      <c r="U11" s="194" t="n"/>
      <c r="V11" s="194" t="n"/>
      <c r="W11" s="194" t="n"/>
      <c r="X11" s="194" t="n"/>
      <c r="Y11" s="194" t="n"/>
      <c r="Z11" s="194" t="n"/>
    </row>
    <row r="12" ht="12" customHeight="1" s="1">
      <c r="A12" s="194" t="n"/>
      <c r="B12" s="194" t="n"/>
      <c r="C12" s="194" t="n"/>
      <c r="D12" s="194" t="n"/>
      <c r="E12" s="194" t="n"/>
      <c r="F12" s="194" t="n"/>
      <c r="G12" s="194" t="n"/>
      <c r="H12" s="185" t="n"/>
      <c r="I12" s="194" t="n"/>
      <c r="J12" s="194" t="n"/>
      <c r="K12" s="194" t="n"/>
      <c r="L12" s="194" t="n"/>
      <c r="M12" s="194" t="n"/>
      <c r="N12" s="194" t="n"/>
      <c r="O12" s="194" t="n"/>
      <c r="P12" s="194" t="n"/>
      <c r="Q12" s="194" t="n"/>
      <c r="R12" s="194" t="n"/>
      <c r="S12" s="194" t="n"/>
      <c r="T12" s="194" t="n"/>
      <c r="U12" s="194" t="n"/>
      <c r="V12" s="194" t="n"/>
      <c r="W12" s="194" t="n"/>
      <c r="X12" s="194" t="n"/>
      <c r="Y12" s="194" t="n"/>
      <c r="Z12" s="194" t="n"/>
    </row>
    <row r="13" ht="12" customHeight="1" s="1">
      <c r="A13" s="194" t="n"/>
      <c r="B13" s="194" t="n"/>
      <c r="C13" s="194" t="n"/>
      <c r="D13" s="194" t="n"/>
      <c r="E13" s="194" t="n"/>
      <c r="F13" s="194" t="n"/>
      <c r="G13" s="194" t="n"/>
      <c r="H13" s="185" t="n"/>
      <c r="I13" s="194" t="n"/>
      <c r="J13" s="194" t="n"/>
      <c r="K13" s="194" t="n"/>
      <c r="L13" s="194" t="n"/>
      <c r="M13" s="194" t="n"/>
      <c r="N13" s="194" t="n"/>
      <c r="O13" s="194" t="n"/>
      <c r="P13" s="194" t="n"/>
      <c r="Q13" s="194" t="n"/>
      <c r="R13" s="194" t="n"/>
      <c r="S13" s="194" t="n"/>
      <c r="T13" s="194" t="n"/>
      <c r="U13" s="194" t="n"/>
      <c r="V13" s="194" t="n"/>
      <c r="W13" s="194" t="n"/>
      <c r="X13" s="194" t="n"/>
      <c r="Y13" s="194" t="n"/>
      <c r="Z13" s="194" t="n"/>
    </row>
    <row r="14" ht="12" customHeight="1" s="1">
      <c r="A14" s="194" t="n"/>
      <c r="B14" s="194" t="n"/>
      <c r="C14" s="194" t="n"/>
      <c r="D14" s="194" t="n"/>
      <c r="E14" s="194" t="n"/>
      <c r="F14" s="194" t="n"/>
      <c r="G14" s="194" t="n"/>
      <c r="H14" s="185" t="n"/>
      <c r="I14" s="194" t="n"/>
      <c r="J14" s="194" t="n"/>
      <c r="K14" s="194" t="n"/>
      <c r="L14" s="194" t="n"/>
      <c r="M14" s="194" t="n"/>
      <c r="N14" s="194" t="n"/>
      <c r="O14" s="194" t="n"/>
      <c r="P14" s="194" t="n"/>
      <c r="Q14" s="194" t="n"/>
      <c r="R14" s="194" t="n"/>
      <c r="S14" s="194" t="n"/>
      <c r="T14" s="194" t="n"/>
      <c r="U14" s="194" t="n"/>
      <c r="V14" s="194" t="n"/>
      <c r="W14" s="194" t="n"/>
      <c r="X14" s="194" t="n"/>
      <c r="Y14" s="194" t="n"/>
      <c r="Z14" s="194" t="n"/>
    </row>
    <row r="15" ht="12" customHeight="1" s="1">
      <c r="A15" s="194" t="n"/>
      <c r="B15" s="194" t="n"/>
      <c r="C15" s="194" t="n"/>
      <c r="D15" s="194" t="n"/>
      <c r="E15" s="194" t="n"/>
      <c r="F15" s="194" t="n"/>
      <c r="G15" s="126" t="n"/>
      <c r="H15" s="126" t="n"/>
      <c r="I15" s="194" t="n"/>
      <c r="J15" s="194" t="n"/>
      <c r="K15" s="194" t="n"/>
      <c r="L15" s="194" t="n"/>
      <c r="M15" s="194" t="n"/>
      <c r="N15" s="194" t="n"/>
      <c r="O15" s="194" t="n"/>
      <c r="P15" s="194" t="n"/>
      <c r="Q15" s="194" t="n"/>
      <c r="R15" s="194" t="n"/>
      <c r="S15" s="194" t="n"/>
      <c r="T15" s="194" t="n"/>
      <c r="U15" s="194" t="n"/>
      <c r="V15" s="194" t="n"/>
      <c r="W15" s="194" t="n"/>
      <c r="X15" s="194" t="n"/>
      <c r="Y15" s="194" t="n"/>
      <c r="Z15" s="194" t="n"/>
    </row>
    <row r="16" ht="12" customHeight="1" s="1">
      <c r="A16" s="194" t="n"/>
      <c r="B16" s="194" t="n"/>
      <c r="C16" s="194" t="n"/>
      <c r="D16" s="194" t="n"/>
      <c r="E16" s="194" t="n"/>
      <c r="F16" s="194" t="n"/>
      <c r="G16" s="126" t="n"/>
      <c r="H16" s="126" t="n"/>
      <c r="I16" s="194" t="n"/>
      <c r="J16" s="194" t="n"/>
      <c r="K16" s="194" t="n"/>
      <c r="L16" s="194" t="n"/>
      <c r="M16" s="194" t="n"/>
      <c r="N16" s="194" t="n"/>
      <c r="O16" s="194" t="n"/>
      <c r="P16" s="194" t="n"/>
      <c r="Q16" s="194" t="n"/>
      <c r="R16" s="194" t="n"/>
      <c r="S16" s="194" t="n"/>
      <c r="T16" s="194" t="n"/>
      <c r="U16" s="194" t="n"/>
      <c r="V16" s="194" t="n"/>
      <c r="W16" s="194" t="n"/>
      <c r="X16" s="194" t="n"/>
      <c r="Y16" s="194" t="n"/>
      <c r="Z16" s="194" t="n"/>
    </row>
    <row r="17" ht="12" customHeight="1" s="1">
      <c r="A17" s="194" t="n"/>
      <c r="B17" s="194" t="n"/>
      <c r="C17" s="194" t="n"/>
      <c r="D17" s="194" t="n"/>
      <c r="E17" s="194" t="n"/>
      <c r="F17" s="194" t="n"/>
      <c r="G17" s="126" t="n"/>
      <c r="H17" s="126" t="n"/>
      <c r="I17" s="194" t="n"/>
      <c r="J17" s="194" t="n"/>
      <c r="K17" s="194" t="n"/>
      <c r="L17" s="194" t="n"/>
      <c r="M17" s="194" t="n"/>
      <c r="N17" s="194" t="n"/>
      <c r="O17" s="194" t="n"/>
      <c r="P17" s="194" t="n"/>
      <c r="Q17" s="194" t="n"/>
      <c r="R17" s="194" t="n"/>
      <c r="S17" s="194" t="n"/>
      <c r="T17" s="194" t="n"/>
      <c r="U17" s="194" t="n"/>
      <c r="V17" s="194" t="n"/>
      <c r="W17" s="194" t="n"/>
      <c r="X17" s="194" t="n"/>
      <c r="Y17" s="194" t="n"/>
      <c r="Z17" s="194" t="n"/>
    </row>
    <row r="18" ht="12" customHeight="1" s="1">
      <c r="A18" s="194" t="n"/>
      <c r="B18" s="194" t="n"/>
      <c r="C18" s="194" t="n"/>
      <c r="D18" s="194" t="n"/>
      <c r="E18" s="126" t="n"/>
      <c r="F18" s="126" t="n"/>
      <c r="G18" s="126" t="n"/>
      <c r="H18" s="126" t="n"/>
      <c r="I18" s="126" t="n"/>
      <c r="J18" s="126" t="n"/>
      <c r="K18" s="194" t="n"/>
      <c r="L18" s="194" t="n"/>
      <c r="M18" s="194" t="n"/>
      <c r="N18" s="194" t="n"/>
      <c r="O18" s="194" t="n"/>
      <c r="P18" s="194" t="n"/>
      <c r="Q18" s="194" t="n"/>
      <c r="R18" s="194" t="n"/>
      <c r="S18" s="194" t="n"/>
      <c r="T18" s="194" t="n"/>
      <c r="U18" s="194" t="n"/>
      <c r="V18" s="194" t="n"/>
      <c r="W18" s="194" t="n"/>
      <c r="X18" s="194" t="n"/>
      <c r="Y18" s="194" t="n"/>
      <c r="Z18" s="194" t="n"/>
    </row>
    <row r="19" ht="12" customHeight="1" s="1">
      <c r="A19" s="194" t="n"/>
      <c r="B19" s="194" t="n"/>
      <c r="C19" s="194" t="n"/>
      <c r="D19" s="194" t="n"/>
      <c r="E19" s="126" t="n"/>
      <c r="F19" s="126" t="n"/>
      <c r="G19" s="126" t="n"/>
      <c r="H19" s="126" t="n"/>
      <c r="I19" s="126" t="n"/>
      <c r="J19" s="126" t="n"/>
      <c r="K19" s="194" t="n"/>
      <c r="L19" s="194" t="n"/>
      <c r="M19" s="194" t="n"/>
      <c r="N19" s="194" t="n"/>
      <c r="O19" s="194" t="n"/>
      <c r="P19" s="194" t="n"/>
      <c r="Q19" s="194" t="n"/>
      <c r="R19" s="194" t="n"/>
      <c r="S19" s="194" t="n"/>
      <c r="T19" s="194" t="n"/>
      <c r="U19" s="194" t="n"/>
      <c r="V19" s="194" t="n"/>
      <c r="W19" s="194" t="n"/>
      <c r="X19" s="194" t="n"/>
      <c r="Y19" s="194" t="n"/>
      <c r="Z19" s="194" t="n"/>
    </row>
    <row r="20" ht="12" customHeight="1" s="1">
      <c r="A20" s="194" t="n"/>
      <c r="B20" s="194" t="n"/>
      <c r="C20" s="194" t="n"/>
      <c r="D20" s="194" t="n"/>
      <c r="E20" s="126" t="n"/>
      <c r="F20" s="126" t="n"/>
      <c r="G20" s="126" t="n"/>
      <c r="H20" s="126" t="n"/>
      <c r="I20" s="126" t="n"/>
      <c r="J20" s="126" t="n"/>
      <c r="K20" s="194" t="n"/>
      <c r="L20" s="194" t="n"/>
      <c r="M20" s="194" t="n"/>
      <c r="N20" s="194" t="n"/>
      <c r="O20" s="194" t="n"/>
      <c r="P20" s="194" t="n"/>
      <c r="Q20" s="186" t="inlineStr">
        <is>
          <t>b</t>
        </is>
      </c>
      <c r="R20" s="194" t="n"/>
      <c r="S20" s="194" t="n"/>
      <c r="T20" s="194" t="n"/>
      <c r="U20" s="194" t="n"/>
      <c r="V20" s="194" t="n"/>
      <c r="W20" s="194" t="n"/>
      <c r="X20" s="194" t="n"/>
      <c r="Y20" s="194" t="n"/>
      <c r="Z20" s="194" t="n"/>
    </row>
    <row r="21" ht="12" customHeight="1" s="1">
      <c r="A21" s="194" t="n"/>
      <c r="B21" s="194" t="n"/>
      <c r="C21" s="194" t="n"/>
      <c r="D21" s="194" t="n"/>
      <c r="E21" s="126" t="n"/>
      <c r="F21" s="126" t="n"/>
      <c r="G21" s="126" t="n"/>
      <c r="H21" s="126" t="n"/>
      <c r="I21" s="126" t="n"/>
      <c r="J21" s="126" t="n"/>
      <c r="K21" s="194" t="n"/>
      <c r="L21" s="194" t="n"/>
      <c r="M21" s="194" t="n"/>
      <c r="N21" s="194" t="n"/>
      <c r="O21" s="194" t="n"/>
      <c r="P21" s="194" t="n"/>
      <c r="Q21" s="194" t="n"/>
      <c r="R21" s="194" t="n"/>
      <c r="S21" s="194" t="n"/>
      <c r="T21" s="194" t="n"/>
      <c r="U21" s="194" t="n"/>
      <c r="V21" s="194" t="n"/>
      <c r="W21" s="194" t="n"/>
      <c r="X21" s="194" t="n"/>
      <c r="Y21" s="194" t="n"/>
      <c r="Z21" s="194" t="n"/>
    </row>
    <row r="22" ht="12" customHeight="1" s="1">
      <c r="A22" s="194" t="n"/>
      <c r="B22" s="194" t="n"/>
      <c r="C22" s="194" t="n"/>
      <c r="D22" s="194" t="n"/>
      <c r="E22" s="126" t="n"/>
      <c r="F22" s="126" t="n"/>
      <c r="G22" s="126" t="n"/>
      <c r="H22" s="126" t="n"/>
      <c r="I22" s="126" t="n"/>
      <c r="J22" s="126" t="n"/>
      <c r="K22" s="194" t="n"/>
      <c r="L22" s="194" t="n"/>
      <c r="M22" s="194" t="n"/>
      <c r="N22" s="194" t="n"/>
      <c r="O22" s="194" t="n"/>
      <c r="P22" s="194" t="n"/>
      <c r="Q22" s="194" t="n"/>
      <c r="R22" s="194" t="n"/>
      <c r="S22" s="194" t="n"/>
      <c r="T22" s="194" t="n"/>
      <c r="U22" s="194" t="n"/>
      <c r="V22" s="194" t="n"/>
      <c r="W22" s="194" t="n"/>
      <c r="X22" s="194" t="n"/>
      <c r="Y22" s="194" t="n"/>
      <c r="Z22" s="194" t="n"/>
    </row>
    <row r="23" ht="12" customHeight="1" s="1">
      <c r="A23" s="194" t="n"/>
      <c r="B23" s="194" t="n"/>
      <c r="C23" s="194" t="n"/>
      <c r="D23" s="194" t="n"/>
      <c r="E23" s="126" t="n"/>
      <c r="F23" s="126" t="n"/>
      <c r="G23" s="126" t="n"/>
      <c r="H23" s="126" t="n"/>
      <c r="I23" s="126" t="n"/>
      <c r="J23" s="126" t="n"/>
      <c r="K23" s="194" t="n"/>
      <c r="L23" s="194" t="n"/>
      <c r="M23" s="194" t="n"/>
      <c r="N23" s="194" t="n"/>
      <c r="O23" s="194" t="n"/>
      <c r="P23" s="194" t="n"/>
      <c r="Q23" s="194" t="n"/>
      <c r="R23" s="194" t="n"/>
      <c r="S23" s="194" t="n"/>
      <c r="T23" s="194" t="n"/>
      <c r="U23" s="194" t="n"/>
      <c r="V23" s="194" t="n"/>
      <c r="W23" s="194" t="n"/>
      <c r="X23" s="194" t="n"/>
      <c r="Y23" s="194" t="n"/>
      <c r="Z23" s="194" t="n"/>
    </row>
    <row r="24" ht="12" customHeight="1" s="1">
      <c r="A24" s="194" t="n"/>
      <c r="B24" s="194" t="n"/>
      <c r="C24" s="194" t="n"/>
      <c r="D24" s="194" t="n"/>
      <c r="E24" s="126" t="n"/>
      <c r="F24" s="126" t="n"/>
      <c r="G24" s="126" t="n"/>
      <c r="H24" s="126" t="n"/>
      <c r="I24" s="126" t="n"/>
      <c r="J24" s="126" t="n"/>
      <c r="K24" s="194" t="n"/>
      <c r="L24" s="194" t="n"/>
      <c r="M24" s="194" t="n"/>
      <c r="N24" s="194" t="n"/>
      <c r="O24" s="194" t="n"/>
      <c r="P24" s="194" t="n"/>
      <c r="Q24" s="194" t="n"/>
      <c r="R24" s="194" t="n"/>
      <c r="S24" s="194" t="n"/>
      <c r="T24" s="194" t="n"/>
      <c r="U24" s="194" t="n"/>
      <c r="V24" s="194" t="n"/>
      <c r="W24" s="194" t="n"/>
      <c r="X24" s="194" t="n"/>
      <c r="Y24" s="194" t="n"/>
      <c r="Z24" s="194" t="n"/>
    </row>
    <row r="25" ht="12" customHeight="1" s="1">
      <c r="A25" s="194" t="n"/>
      <c r="B25" s="194" t="n"/>
      <c r="C25" s="194" t="n"/>
      <c r="D25" s="194" t="n"/>
      <c r="E25" s="126" t="n"/>
      <c r="F25" s="126" t="n"/>
      <c r="G25" s="126" t="n"/>
      <c r="H25" s="126" t="n"/>
      <c r="I25" s="126" t="n"/>
      <c r="J25" s="126" t="n"/>
      <c r="K25" s="194" t="n"/>
      <c r="L25" s="194" t="n"/>
      <c r="M25" s="194" t="n"/>
      <c r="N25" s="194" t="n"/>
      <c r="O25" s="194" t="n"/>
      <c r="P25" s="194" t="n"/>
      <c r="Q25" s="194" t="n"/>
      <c r="R25" s="194" t="n"/>
      <c r="S25" s="194" t="n"/>
      <c r="T25" s="194" t="n"/>
      <c r="U25" s="194" t="n"/>
      <c r="V25" s="194" t="n"/>
      <c r="W25" s="194" t="n"/>
      <c r="X25" s="194" t="n"/>
      <c r="Y25" s="194" t="n"/>
      <c r="Z25" s="194" t="n"/>
    </row>
    <row r="26" ht="12" customHeight="1" s="1">
      <c r="A26" s="194" t="n"/>
      <c r="B26" s="194" t="n"/>
      <c r="C26" s="194" t="n"/>
      <c r="D26" s="194" t="n"/>
      <c r="E26" s="126" t="n"/>
      <c r="F26" s="126" t="n"/>
      <c r="G26" s="126" t="n"/>
      <c r="H26" s="126" t="n"/>
      <c r="I26" s="126" t="n"/>
      <c r="J26" s="126" t="n"/>
      <c r="K26" s="194" t="n"/>
      <c r="L26" s="194" t="n"/>
      <c r="M26" s="194" t="n"/>
      <c r="N26" s="194" t="n"/>
      <c r="O26" s="194" t="n"/>
      <c r="P26" s="194" t="n"/>
      <c r="Q26" s="194" t="n"/>
      <c r="R26" s="194" t="n"/>
      <c r="S26" s="194" t="n"/>
      <c r="T26" s="194" t="n"/>
      <c r="U26" s="194" t="n"/>
      <c r="V26" s="194" t="n"/>
      <c r="W26" s="194" t="n"/>
      <c r="X26" s="194" t="n"/>
      <c r="Y26" s="194" t="n"/>
      <c r="Z26" s="194" t="n"/>
    </row>
    <row r="27" ht="12" customHeight="1" s="1">
      <c r="A27" s="194" t="n"/>
      <c r="B27" s="194" t="n"/>
      <c r="C27" s="194" t="n"/>
      <c r="D27" s="194" t="n"/>
      <c r="E27" s="126" t="n"/>
      <c r="F27" s="126" t="n"/>
      <c r="G27" s="126" t="n"/>
      <c r="H27" s="126" t="n"/>
      <c r="I27" s="126" t="n"/>
      <c r="J27" s="126" t="n"/>
      <c r="K27" s="194" t="n"/>
      <c r="L27" s="194" t="n"/>
      <c r="M27" s="194" t="n"/>
      <c r="N27" s="194" t="n"/>
      <c r="O27" s="194" t="n"/>
      <c r="P27" s="194" t="n"/>
      <c r="Q27" s="194" t="n"/>
      <c r="R27" s="194" t="n"/>
      <c r="S27" s="194" t="n"/>
      <c r="T27" s="194" t="n"/>
      <c r="U27" s="194" t="n"/>
      <c r="V27" s="194" t="n"/>
      <c r="W27" s="194" t="n"/>
      <c r="X27" s="194" t="n"/>
      <c r="Y27" s="194" t="n"/>
      <c r="Z27" s="194" t="n"/>
    </row>
    <row r="28" ht="12" customHeight="1" s="1">
      <c r="A28" s="194" t="n"/>
      <c r="B28" s="194" t="n"/>
      <c r="C28" s="194" t="n"/>
      <c r="D28" s="194" t="n"/>
      <c r="E28" s="126" t="n"/>
      <c r="F28" s="126" t="n"/>
      <c r="G28" s="126" t="n"/>
      <c r="H28" s="126" t="n"/>
      <c r="I28" s="126" t="n"/>
      <c r="J28" s="126" t="n"/>
      <c r="K28" s="194" t="n"/>
      <c r="L28" s="194" t="n"/>
      <c r="M28" s="194" t="n"/>
      <c r="N28" s="194" t="n"/>
      <c r="O28" s="194" t="n"/>
      <c r="P28" s="194" t="n"/>
      <c r="Q28" s="194" t="n"/>
      <c r="R28" s="194" t="n"/>
      <c r="S28" s="194" t="n"/>
      <c r="T28" s="194" t="n"/>
      <c r="U28" s="194" t="n"/>
      <c r="V28" s="194" t="n"/>
      <c r="W28" s="194" t="n"/>
      <c r="X28" s="194" t="n"/>
      <c r="Y28" s="194" t="n"/>
      <c r="Z28" s="194" t="n"/>
    </row>
    <row r="29" ht="12" customHeight="1" s="1">
      <c r="A29" s="194" t="n"/>
      <c r="B29" s="194" t="n"/>
      <c r="C29" s="194" t="n"/>
      <c r="D29" s="194" t="n"/>
      <c r="E29" s="126" t="n"/>
      <c r="F29" s="126" t="n"/>
      <c r="G29" s="126" t="n"/>
      <c r="H29" s="126" t="n"/>
      <c r="I29" s="126" t="n"/>
      <c r="J29" s="126" t="n"/>
      <c r="K29" s="194" t="n"/>
      <c r="L29" s="194" t="n"/>
      <c r="M29" s="194" t="n"/>
      <c r="N29" s="194" t="n"/>
      <c r="O29" s="194" t="n"/>
      <c r="P29" s="194" t="n"/>
      <c r="Q29" s="194" t="n"/>
      <c r="R29" s="194" t="n"/>
      <c r="S29" s="194" t="n"/>
      <c r="T29" s="194" t="n"/>
      <c r="U29" s="194" t="n"/>
      <c r="V29" s="194" t="n"/>
      <c r="W29" s="194" t="n"/>
      <c r="X29" s="194" t="n"/>
      <c r="Y29" s="194" t="n"/>
      <c r="Z29" s="194" t="n"/>
    </row>
    <row r="30" ht="12.75" customHeight="1" s="1">
      <c r="A30" s="273" t="inlineStr">
        <is>
          <t>PO ATTAINMENT LEVELS</t>
        </is>
      </c>
      <c r="B30" s="212" t="n"/>
      <c r="C30" s="212" t="n"/>
      <c r="D30" s="212" t="n"/>
      <c r="E30" s="212" t="n"/>
      <c r="F30" s="212" t="n"/>
      <c r="G30" s="212" t="n"/>
      <c r="H30" s="212" t="n"/>
      <c r="I30" s="212" t="n"/>
      <c r="J30" s="212" t="n"/>
      <c r="K30" s="212" t="n"/>
      <c r="L30" s="212" t="n"/>
      <c r="M30" s="212" t="n"/>
      <c r="N30" s="212" t="n"/>
      <c r="O30" s="212" t="n"/>
      <c r="P30" s="212" t="n"/>
      <c r="Q30" s="212" t="n"/>
      <c r="R30" s="212" t="n"/>
      <c r="S30" s="212" t="n"/>
      <c r="T30" s="212" t="n"/>
      <c r="U30" s="212" t="n"/>
      <c r="V30" s="212" t="n"/>
      <c r="W30" s="212" t="n"/>
      <c r="X30" s="212" t="n"/>
      <c r="Y30" s="212" t="n"/>
      <c r="Z30" s="213" t="n"/>
    </row>
    <row r="31" ht="12" customHeight="1" s="1">
      <c r="A31" s="194"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c r="V31" s="198" t="n"/>
      <c r="W31" s="198" t="n"/>
      <c r="X31" s="198" t="n"/>
      <c r="Y31" s="198" t="n"/>
      <c r="Z31" s="198" t="n"/>
    </row>
    <row r="32" ht="12.75" customHeight="1" s="1">
      <c r="A32" s="187" t="n"/>
      <c r="B32" s="188" t="inlineStr">
        <is>
          <t>CO AL</t>
        </is>
      </c>
      <c r="C32" s="188" t="inlineStr">
        <is>
          <t>PO1 W</t>
        </is>
      </c>
      <c r="D32" s="188" t="inlineStr">
        <is>
          <t>PO1 AL</t>
        </is>
      </c>
      <c r="E32" s="188" t="inlineStr">
        <is>
          <t>PO2 W</t>
        </is>
      </c>
      <c r="F32" s="188" t="inlineStr">
        <is>
          <t>PO2 AL</t>
        </is>
      </c>
      <c r="G32" s="188" t="inlineStr">
        <is>
          <t>PO3 W</t>
        </is>
      </c>
      <c r="H32" s="188" t="inlineStr">
        <is>
          <t>PO3 AL</t>
        </is>
      </c>
      <c r="I32" s="188" t="inlineStr">
        <is>
          <t>PO4 W</t>
        </is>
      </c>
      <c r="J32" s="188" t="inlineStr">
        <is>
          <t>PO4 AL</t>
        </is>
      </c>
      <c r="K32" s="188" t="inlineStr">
        <is>
          <t>PO5 W</t>
        </is>
      </c>
      <c r="L32" s="188" t="inlineStr">
        <is>
          <t>PO5 AL</t>
        </is>
      </c>
      <c r="M32" s="188" t="inlineStr">
        <is>
          <t>PO6 W</t>
        </is>
      </c>
      <c r="N32" s="188" t="inlineStr">
        <is>
          <t>PO6 AL</t>
        </is>
      </c>
      <c r="O32" s="188" t="inlineStr">
        <is>
          <t>PO7 W</t>
        </is>
      </c>
      <c r="P32" s="188" t="inlineStr">
        <is>
          <t>PO7 AL</t>
        </is>
      </c>
      <c r="Q32" s="188" t="inlineStr">
        <is>
          <t>PO8 W</t>
        </is>
      </c>
      <c r="R32" s="188" t="inlineStr">
        <is>
          <t>PO8 AL</t>
        </is>
      </c>
      <c r="S32" s="188" t="inlineStr">
        <is>
          <t>PO9 W</t>
        </is>
      </c>
      <c r="T32" s="188" t="inlineStr">
        <is>
          <t>PO9 AL</t>
        </is>
      </c>
      <c r="U32" s="188" t="inlineStr">
        <is>
          <t>PO10 W</t>
        </is>
      </c>
      <c r="V32" s="188" t="inlineStr">
        <is>
          <t>PO10 AL</t>
        </is>
      </c>
      <c r="W32" s="188" t="inlineStr">
        <is>
          <t>PO11 W</t>
        </is>
      </c>
      <c r="X32" s="188" t="inlineStr">
        <is>
          <t>PO11 AL</t>
        </is>
      </c>
      <c r="Y32" s="188" t="inlineStr">
        <is>
          <t>PO12 W</t>
        </is>
      </c>
      <c r="Z32" s="188" t="inlineStr">
        <is>
          <t>PO12 AL</t>
        </is>
      </c>
    </row>
    <row r="33" ht="12" customHeight="1" s="1">
      <c r="A33" s="197" t="n"/>
      <c r="B33" s="121">
        <f>O5</f>
        <v/>
      </c>
      <c r="C33" s="117">
        <f>IF('CO PO Mapping'!B31=3,1,IF('CO PO Mapping'!B31=2,0.75,IF('CO PO Mapping'!B31=1,0.5,"-")))</f>
        <v/>
      </c>
      <c r="D33" s="117">
        <f>IF(C33="-","-",C33*$B33)</f>
        <v/>
      </c>
      <c r="E33" s="122">
        <f>IF('CO PO Mapping'!C31=3,1,IF('CO PO Mapping'!C31=2,0.75,IF('CO PO Mapping'!C31=1,0.5,"-")))</f>
        <v/>
      </c>
      <c r="F33" s="117">
        <f>IF(E33="-","-",E33*$B33)</f>
        <v/>
      </c>
      <c r="G33" s="117">
        <f>IF('CO PO Mapping'!D31=3,1,IF('CO PO Mapping'!D31=2,0.75,IF('CO PO Mapping'!D31=1,0.5,"-")))</f>
        <v/>
      </c>
      <c r="H33" s="117">
        <f>IF(G33="-","-",G33*$B33)</f>
        <v/>
      </c>
      <c r="I33" s="117">
        <f>IF('CO PO Mapping'!E31=3,1,IF('CO PO Mapping'!E31=2,0.75,IF('CO PO Mapping'!E31=1,0.5,"-")))</f>
        <v/>
      </c>
      <c r="J33" s="117">
        <f>IF(I33="-","-",I33*$B33)</f>
        <v/>
      </c>
      <c r="K33" s="117">
        <f>IF('CO PO Mapping'!F31=3,1,IF('CO PO Mapping'!F31=2,0.75,IF('CO PO Mapping'!F31=1,0.5,"-")))</f>
        <v/>
      </c>
      <c r="L33" s="117">
        <f>IF(K33="-","-",K33*$B33)</f>
        <v/>
      </c>
      <c r="M33" s="117">
        <f>IF('CO PO Mapping'!G31=3,1,IF('CO PO Mapping'!G31=2,0.75,IF('CO PO Mapping'!G31=1,0.5,"-")))</f>
        <v/>
      </c>
      <c r="N33" s="117">
        <f>IF(M33="-","-",M33*$B33)</f>
        <v/>
      </c>
      <c r="O33" s="117">
        <f>IF('CO PO Mapping'!H31=3,1,IF('CO PO Mapping'!H31=2,0.75,IF('CO PO Mapping'!H31=1,0.5,"-")))</f>
        <v/>
      </c>
      <c r="P33" s="117">
        <f>IF(O33="-","-",O33*$B33)</f>
        <v/>
      </c>
      <c r="Q33" s="117">
        <f>IF('CO PO Mapping'!I31=3,1,IF('CO PO Mapping'!I31=2,0.75,IF('CO PO Mapping'!I31=1,0.5,"-")))</f>
        <v/>
      </c>
      <c r="R33" s="117">
        <f>IF(Q33="-","-",Q33*$B33)</f>
        <v/>
      </c>
      <c r="S33" s="117">
        <f>IF('CO PO Mapping'!J31=3,1,IF('CO PO Mapping'!J31=2,0.75,IF('CO PO Mapping'!J31=1,0.5,"-")))</f>
        <v/>
      </c>
      <c r="T33" s="117">
        <f>IF(S33="-","-",S33*$B33)</f>
        <v/>
      </c>
      <c r="U33" s="117">
        <f>IF('CO PO Mapping'!K31=3,1,IF('CO PO Mapping'!K31=2,0.75,IF('CO PO Mapping'!K31=1,0.5,"-")))</f>
        <v/>
      </c>
      <c r="V33" s="117">
        <f>IF(U33="-","-",U33*$B33)</f>
        <v/>
      </c>
      <c r="W33" s="117">
        <f>IF('CO PO Mapping'!L31=3,1,IF('CO PO Mapping'!L31=2,0.75,IF('CO PO Mapping'!L31=1,0.5,"-")))</f>
        <v/>
      </c>
      <c r="X33" s="117">
        <f>IF(W33="-","-",W33*$B33)</f>
        <v/>
      </c>
      <c r="Y33" s="117">
        <f>IF('CO PO Mapping'!M31=3,1,IF('CO PO Mapping'!M31=2,0.75,IF('CO PO Mapping'!M31=1,0.5,"-")))</f>
        <v/>
      </c>
      <c r="Z33" s="117">
        <f>IF(Y33="-","-",Y33*$B33)</f>
        <v/>
      </c>
    </row>
    <row r="34" ht="12.75" customHeight="1" s="1">
      <c r="A34" s="273" t="inlineStr">
        <is>
          <t>PSO ATTAINMENT</t>
        </is>
      </c>
      <c r="B34" s="212" t="n"/>
      <c r="C34" s="212" t="n"/>
      <c r="D34" s="213" t="n"/>
      <c r="E34" s="201" t="n"/>
      <c r="F34" s="201" t="n"/>
      <c r="G34" s="201" t="n"/>
      <c r="H34" s="201" t="n"/>
      <c r="I34" s="201" t="n"/>
      <c r="J34" s="201" t="n"/>
      <c r="K34" s="201" t="n"/>
      <c r="L34" s="201" t="n"/>
      <c r="M34" s="201" t="n"/>
      <c r="N34" s="201" t="n"/>
      <c r="O34" s="201" t="n"/>
      <c r="P34" s="201" t="n"/>
      <c r="Q34" s="201" t="n"/>
      <c r="R34" s="201" t="n"/>
      <c r="S34" s="201" t="n"/>
      <c r="T34" s="201" t="n"/>
      <c r="U34" s="201" t="n"/>
      <c r="V34" s="201" t="n"/>
      <c r="W34" s="201" t="n"/>
      <c r="X34" s="201" t="n"/>
      <c r="Y34" s="201" t="n"/>
      <c r="Z34" s="201" t="n"/>
    </row>
    <row r="35" ht="12" customHeight="1" s="1">
      <c r="A35" s="194" t="n"/>
      <c r="B35" s="198" t="n"/>
      <c r="C35" s="198" t="n"/>
      <c r="D35" s="198" t="n"/>
      <c r="E35" s="198" t="n"/>
      <c r="F35" s="198" t="n"/>
      <c r="G35" s="198" t="n"/>
      <c r="H35" s="198" t="n"/>
      <c r="I35" s="194" t="n"/>
      <c r="J35" s="194" t="n"/>
      <c r="K35" s="194" t="n"/>
      <c r="L35" s="194" t="n"/>
      <c r="M35" s="194" t="n"/>
      <c r="N35" s="194" t="n"/>
      <c r="O35" s="194" t="n"/>
      <c r="P35" s="194" t="n"/>
      <c r="Q35" s="194" t="n"/>
      <c r="R35" s="194" t="n"/>
      <c r="S35" s="194" t="n"/>
      <c r="T35" s="194" t="n"/>
      <c r="U35" s="194" t="n"/>
      <c r="V35" s="194" t="n"/>
      <c r="W35" s="194" t="n"/>
      <c r="X35" s="194" t="n"/>
      <c r="Y35" s="194" t="n"/>
      <c r="Z35" s="194" t="n"/>
    </row>
    <row r="36" ht="15" customHeight="1" s="1">
      <c r="A36" s="189" t="n"/>
      <c r="B36" s="188" t="inlineStr">
        <is>
          <t>CO AL</t>
        </is>
      </c>
      <c r="C36" s="188" t="inlineStr">
        <is>
          <t>PSO1 W</t>
        </is>
      </c>
      <c r="D36" s="188" t="inlineStr">
        <is>
          <t>PSO1 AL</t>
        </is>
      </c>
      <c r="E36" s="188" t="inlineStr">
        <is>
          <t>PSO2 W</t>
        </is>
      </c>
      <c r="F36" s="188" t="inlineStr">
        <is>
          <t>PSO2 AL</t>
        </is>
      </c>
      <c r="G36" s="188" t="inlineStr">
        <is>
          <t>PSO3 W</t>
        </is>
      </c>
      <c r="H36" s="188" t="inlineStr">
        <is>
          <t>PSO3 AL</t>
        </is>
      </c>
      <c r="I36" s="190" t="n"/>
      <c r="J36" s="194" t="n"/>
      <c r="K36" s="194" t="n"/>
      <c r="L36" s="194" t="n"/>
      <c r="M36" s="194" t="n"/>
      <c r="N36" s="194" t="n"/>
      <c r="O36" s="194" t="n"/>
      <c r="P36" s="194" t="n"/>
      <c r="Q36" s="194" t="n"/>
      <c r="R36" s="194" t="n"/>
      <c r="S36" s="194" t="n"/>
      <c r="T36" s="194" t="n"/>
      <c r="U36" s="194" t="n"/>
      <c r="V36" s="194" t="n"/>
      <c r="W36" s="194" t="n"/>
      <c r="X36" s="194" t="n"/>
      <c r="Y36" s="194" t="n"/>
      <c r="Z36" s="194" t="n"/>
    </row>
    <row r="37" ht="12" customHeight="1" s="1">
      <c r="A37" s="197" t="n"/>
      <c r="B37" s="182">
        <f>O5</f>
        <v/>
      </c>
      <c r="C37" s="122">
        <f>IF('CO PO Mapping'!N31=3,1,IF('CO PO Mapping'!N31=2,0.75,IF('CO PO Mapping'!N31=1,0.5,"-")))</f>
        <v/>
      </c>
      <c r="D37" s="117">
        <f>IF(C37="-","-",$B37*C37)</f>
        <v/>
      </c>
      <c r="E37" s="122">
        <f>IF('CO PO Mapping'!O31=3,1,IF('CO PO Mapping'!O31=2,0.75,IF('CO PO Mapping'!O31=1,0.5,"-")))</f>
        <v/>
      </c>
      <c r="F37" s="117">
        <f>IF(E37="-","-",$B37*E37)</f>
        <v/>
      </c>
      <c r="G37" s="117">
        <f>IF('CO PO Mapping'!P31=3,1,IF('CO PO Mapping'!P31=2,0.75,IF('CO PO Mapping'!P31=1,0.5,"-")))</f>
        <v/>
      </c>
      <c r="H37" s="117">
        <f>IF(G37="-","-",$B37*G37)</f>
        <v/>
      </c>
      <c r="I37" s="144" t="n"/>
      <c r="J37" s="194" t="n"/>
      <c r="K37" s="194" t="n"/>
      <c r="L37" s="194" t="n"/>
      <c r="M37" s="194" t="n"/>
      <c r="N37" s="194" t="n"/>
      <c r="O37" s="194" t="n"/>
      <c r="P37" s="194" t="n"/>
      <c r="Q37" s="194" t="n"/>
      <c r="R37" s="194" t="n"/>
      <c r="S37" s="194" t="n"/>
      <c r="T37" s="194" t="n"/>
      <c r="U37" s="194" t="n"/>
      <c r="V37" s="194" t="n"/>
      <c r="W37" s="194" t="n"/>
      <c r="X37" s="194" t="n"/>
      <c r="Y37" s="194" t="n"/>
      <c r="Z37" s="194" t="n"/>
    </row>
    <row r="38" ht="12" customHeight="1" s="1">
      <c r="A38" s="194" t="n"/>
      <c r="B38" s="201" t="n"/>
      <c r="C38" s="201" t="n"/>
      <c r="D38" s="201" t="n"/>
      <c r="E38" s="201" t="n"/>
      <c r="F38" s="201" t="n"/>
      <c r="G38" s="201" t="n"/>
      <c r="H38" s="201" t="n"/>
      <c r="I38" s="194" t="n"/>
      <c r="J38" s="194" t="n"/>
      <c r="K38" s="194" t="n"/>
      <c r="L38" s="194" t="n"/>
      <c r="M38" s="194" t="n"/>
      <c r="N38" s="194" t="n"/>
      <c r="O38" s="194" t="n"/>
      <c r="P38" s="194" t="n"/>
      <c r="Q38" s="194" t="n"/>
      <c r="R38" s="194" t="n"/>
      <c r="S38" s="194" t="n"/>
      <c r="T38" s="194" t="n"/>
      <c r="U38" s="194" t="n"/>
      <c r="V38" s="194" t="n"/>
      <c r="W38" s="194" t="n"/>
      <c r="X38" s="194" t="n"/>
      <c r="Y38" s="194" t="n"/>
      <c r="Z38" s="194" t="n"/>
    </row>
    <row r="39" ht="12" customHeight="1" s="1">
      <c r="A39" s="194" t="n"/>
      <c r="B39" s="194" t="n"/>
      <c r="C39" s="194" t="n"/>
      <c r="D39" s="194" t="n"/>
      <c r="E39" s="194" t="n"/>
      <c r="F39" s="194" t="n"/>
      <c r="G39" s="194" t="n"/>
      <c r="H39" s="194" t="n"/>
      <c r="I39" s="194" t="n"/>
      <c r="J39" s="194" t="n"/>
      <c r="K39" s="194" t="n"/>
      <c r="L39" s="194" t="n"/>
      <c r="M39" s="194" t="n"/>
      <c r="N39" s="194" t="n"/>
      <c r="O39" s="194" t="n"/>
      <c r="P39" s="194" t="n"/>
      <c r="Q39" s="194" t="n"/>
      <c r="R39" s="194" t="n"/>
      <c r="S39" s="194" t="n"/>
      <c r="T39" s="194" t="n"/>
      <c r="U39" s="194" t="n"/>
      <c r="V39" s="194" t="n"/>
      <c r="W39" s="194" t="n"/>
      <c r="X39" s="194" t="n"/>
      <c r="Y39" s="194" t="n"/>
      <c r="Z39" s="194" t="n"/>
    </row>
    <row r="40" ht="12" customHeight="1" s="1">
      <c r="A40" s="194" t="n"/>
      <c r="B40" s="194" t="n"/>
      <c r="C40" s="194" t="n"/>
      <c r="D40" s="194" t="n"/>
      <c r="E40" s="194" t="n"/>
      <c r="F40" s="194" t="n"/>
      <c r="G40" s="191" t="n"/>
      <c r="H40" s="194" t="n"/>
      <c r="I40" s="194" t="n"/>
      <c r="J40" s="194" t="n"/>
      <c r="K40" s="194" t="n"/>
      <c r="L40" s="194" t="n"/>
      <c r="M40" s="194" t="n"/>
      <c r="N40" s="194" t="n"/>
      <c r="O40" s="194" t="n"/>
      <c r="P40" s="194" t="n"/>
      <c r="Q40" s="194" t="n"/>
      <c r="R40" s="194" t="n"/>
      <c r="S40" s="194" t="n"/>
      <c r="T40" s="194" t="n"/>
      <c r="U40" s="194" t="n"/>
      <c r="V40" s="194" t="n"/>
      <c r="W40" s="194" t="n"/>
      <c r="X40" s="194" t="n"/>
      <c r="Y40" s="194" t="n"/>
      <c r="Z40" s="194" t="n"/>
    </row>
    <row r="41" ht="12" customHeight="1" s="1">
      <c r="A41" s="194" t="n"/>
      <c r="B41" s="194" t="n"/>
      <c r="C41" s="194" t="n"/>
      <c r="D41" s="194" t="n"/>
      <c r="E41" s="194" t="n"/>
      <c r="F41" s="194" t="n"/>
      <c r="G41" s="191" t="n"/>
      <c r="H41" s="194" t="n"/>
      <c r="I41" s="194" t="n"/>
      <c r="J41" s="194" t="n"/>
      <c r="K41" s="194" t="n"/>
      <c r="L41" s="194" t="n"/>
      <c r="M41" s="194" t="n"/>
      <c r="N41" s="194" t="n"/>
      <c r="O41" s="194" t="n"/>
      <c r="P41" s="194" t="n"/>
      <c r="Q41" s="194" t="n"/>
      <c r="R41" s="194" t="n"/>
      <c r="S41" s="194" t="n"/>
      <c r="T41" s="194" t="n"/>
      <c r="U41" s="194" t="n"/>
      <c r="V41" s="194" t="n"/>
      <c r="W41" s="194" t="n"/>
      <c r="X41" s="194" t="n"/>
      <c r="Y41" s="194" t="n"/>
      <c r="Z41" s="194" t="n"/>
    </row>
    <row r="42" ht="12" customHeight="1" s="1">
      <c r="A42" s="194" t="n"/>
      <c r="B42" s="194" t="n"/>
      <c r="C42" s="194" t="n"/>
      <c r="D42" s="194" t="n"/>
      <c r="E42" s="194" t="n"/>
      <c r="F42" s="194" t="n"/>
      <c r="G42" s="191" t="n"/>
      <c r="H42" s="194" t="n"/>
      <c r="I42" s="194" t="n"/>
      <c r="J42" s="194" t="n"/>
      <c r="K42" s="194" t="n"/>
      <c r="L42" s="194" t="n"/>
      <c r="M42" s="194" t="n"/>
      <c r="N42" s="194" t="n"/>
      <c r="O42" s="194" t="n"/>
      <c r="P42" s="194" t="n"/>
      <c r="Q42" s="194" t="n"/>
      <c r="R42" s="194" t="n"/>
      <c r="S42" s="194" t="n"/>
      <c r="T42" s="194" t="n"/>
      <c r="U42" s="194" t="n"/>
      <c r="V42" s="194" t="n"/>
      <c r="W42" s="194" t="n"/>
      <c r="X42" s="194" t="n"/>
      <c r="Y42" s="194" t="n"/>
      <c r="Z42" s="194" t="n"/>
    </row>
    <row r="43" ht="12" customHeight="1" s="1">
      <c r="A43" s="194" t="n"/>
      <c r="B43" s="194" t="n"/>
      <c r="C43" s="194" t="n"/>
      <c r="D43" s="194" t="n"/>
      <c r="E43" s="194" t="n"/>
      <c r="F43" s="194" t="n"/>
      <c r="G43" s="191" t="n"/>
      <c r="H43" s="194" t="n"/>
      <c r="I43" s="194" t="n"/>
      <c r="J43" s="194" t="n"/>
      <c r="K43" s="194" t="n"/>
      <c r="L43" s="194" t="n"/>
      <c r="M43" s="194" t="n"/>
      <c r="N43" s="194" t="n"/>
      <c r="O43" s="194" t="n"/>
      <c r="P43" s="194" t="n"/>
      <c r="Q43" s="194" t="n"/>
      <c r="R43" s="194" t="n"/>
      <c r="S43" s="194" t="n"/>
      <c r="T43" s="194" t="n"/>
      <c r="U43" s="194" t="n"/>
      <c r="V43" s="194" t="n"/>
      <c r="W43" s="194" t="n"/>
      <c r="X43" s="194" t="n"/>
      <c r="Y43" s="194" t="n"/>
      <c r="Z43" s="194" t="n"/>
    </row>
    <row r="44" ht="12" customHeight="1" s="1">
      <c r="A44" s="194" t="n"/>
      <c r="B44" s="194" t="n"/>
      <c r="C44" s="194" t="n"/>
      <c r="D44" s="194" t="n"/>
      <c r="E44" s="194" t="n"/>
      <c r="F44" s="194" t="n"/>
      <c r="G44" s="191" t="n"/>
      <c r="H44" s="194" t="n"/>
      <c r="I44" s="194" t="n"/>
      <c r="J44" s="194" t="n"/>
      <c r="K44" s="194" t="n"/>
      <c r="L44" s="194" t="n"/>
      <c r="M44" s="194" t="n"/>
      <c r="N44" s="194" t="n"/>
      <c r="O44" s="194" t="n"/>
      <c r="P44" s="194" t="n"/>
      <c r="Q44" s="194" t="n"/>
      <c r="R44" s="194" t="n"/>
      <c r="S44" s="194" t="n"/>
      <c r="T44" s="194" t="n"/>
      <c r="U44" s="194" t="n"/>
      <c r="V44" s="194" t="n"/>
      <c r="W44" s="194" t="n"/>
      <c r="X44" s="194" t="n"/>
      <c r="Y44" s="194" t="n"/>
      <c r="Z44" s="194" t="n"/>
    </row>
    <row r="45" ht="12" customHeight="1" s="1">
      <c r="A45" s="194" t="n"/>
      <c r="B45" s="194" t="n"/>
      <c r="C45" s="194" t="n"/>
      <c r="D45" s="194" t="n"/>
      <c r="E45" s="194" t="n"/>
      <c r="F45" s="194" t="n"/>
      <c r="G45" s="191" t="n"/>
      <c r="H45" s="194" t="n"/>
      <c r="I45" s="194" t="n"/>
      <c r="J45" s="194" t="n"/>
      <c r="K45" s="194" t="n"/>
      <c r="L45" s="194" t="n"/>
      <c r="M45" s="194" t="n"/>
      <c r="N45" s="194" t="n"/>
      <c r="O45" s="194" t="n"/>
      <c r="P45" s="194" t="n"/>
      <c r="Q45" s="194" t="n"/>
      <c r="R45" s="194" t="n"/>
      <c r="S45" s="194" t="n"/>
      <c r="T45" s="194" t="n"/>
      <c r="U45" s="194" t="n"/>
      <c r="V45" s="194" t="n"/>
      <c r="W45" s="194" t="n"/>
      <c r="X45" s="194" t="n"/>
      <c r="Y45" s="194" t="n"/>
      <c r="Z45" s="194" t="n"/>
    </row>
  </sheetData>
  <mergeCells count="3">
    <mergeCell ref="A34:D34"/>
    <mergeCell ref="A1:L1"/>
    <mergeCell ref="A30:Z30"/>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ColWidth="12.6640625" defaultRowHeight="15" customHeight="1"/>
  <cols>
    <col width="8.88671875" customWidth="1" style="1" min="1" max="14"/>
    <col width="12.6640625" customWidth="1" style="1" min="15" max="16"/>
    <col width="12.6640625" customWidth="1" style="1" min="17" max="16384"/>
  </cols>
  <sheetData>
    <row r="1" ht="12" customHeight="1" s="1">
      <c r="A1" s="194" t="n"/>
      <c r="B1" s="194" t="n"/>
      <c r="C1" s="194" t="n"/>
      <c r="D1" s="194" t="n"/>
      <c r="E1" s="194" t="n"/>
      <c r="F1" s="194" t="n"/>
      <c r="G1" s="194" t="n"/>
      <c r="H1" s="194" t="n"/>
      <c r="I1" s="194" t="n"/>
      <c r="J1" s="194" t="n"/>
      <c r="K1" s="194" t="n"/>
      <c r="L1" s="194" t="n"/>
      <c r="M1" s="194" t="n"/>
      <c r="N1" s="194" t="n"/>
    </row>
    <row r="2" ht="12" customHeight="1" s="1">
      <c r="A2" s="194" t="n"/>
      <c r="B2" s="194" t="n"/>
      <c r="C2" s="194" t="n"/>
      <c r="D2" s="194" t="n"/>
      <c r="E2" s="194" t="n"/>
      <c r="F2" s="194" t="n"/>
      <c r="G2" s="194" t="n"/>
      <c r="H2" s="194" t="n"/>
      <c r="I2" s="194" t="n"/>
      <c r="J2" s="194" t="n"/>
      <c r="K2" s="194" t="n"/>
      <c r="L2" s="194" t="n"/>
      <c r="M2" s="194" t="n"/>
      <c r="N2" s="194" t="n"/>
    </row>
    <row r="3" ht="12" customHeight="1" s="1">
      <c r="A3" s="194" t="n"/>
      <c r="B3" s="194" t="n"/>
      <c r="C3" s="194" t="n"/>
      <c r="D3" s="194" t="n"/>
      <c r="E3" s="194" t="n"/>
      <c r="F3" s="194" t="n"/>
      <c r="G3" s="194" t="n"/>
      <c r="H3" s="194" t="n"/>
      <c r="I3" s="194" t="n"/>
      <c r="J3" s="194" t="n"/>
      <c r="K3" s="194" t="n"/>
      <c r="L3" s="194" t="n"/>
      <c r="M3" s="194" t="n"/>
      <c r="N3" s="194" t="n"/>
    </row>
    <row r="4" ht="12" customHeight="1" s="1">
      <c r="A4" s="194" t="n"/>
      <c r="B4" s="194" t="n"/>
      <c r="C4" s="194" t="n"/>
      <c r="D4" s="194" t="n"/>
      <c r="E4" s="194" t="n"/>
      <c r="F4" s="194" t="n"/>
      <c r="G4" s="194" t="n"/>
      <c r="H4" s="194" t="n"/>
      <c r="I4" s="194" t="n"/>
      <c r="J4" s="194" t="n"/>
      <c r="K4" s="194" t="n"/>
      <c r="L4" s="194" t="n"/>
      <c r="M4" s="194" t="n"/>
      <c r="N4" s="194" t="n"/>
    </row>
    <row r="5" ht="12" customHeight="1" s="1">
      <c r="A5" s="194" t="n"/>
      <c r="B5" s="194" t="n"/>
      <c r="C5" s="194" t="n"/>
      <c r="D5" s="194" t="n"/>
      <c r="E5" s="194" t="n"/>
      <c r="F5" s="194" t="n"/>
      <c r="G5" s="194" t="n"/>
      <c r="H5" s="194" t="n"/>
      <c r="I5" s="194" t="n"/>
      <c r="J5" s="194" t="n"/>
      <c r="K5" s="194" t="n"/>
      <c r="L5" s="194" t="n"/>
      <c r="M5" s="194" t="n"/>
      <c r="N5" s="194" t="n"/>
    </row>
    <row r="6" ht="12" customHeight="1" s="1">
      <c r="A6" s="194" t="n"/>
      <c r="B6" s="194" t="n"/>
      <c r="C6" s="194" t="n"/>
      <c r="D6" s="194" t="n"/>
      <c r="E6" s="194" t="n"/>
      <c r="F6" s="194" t="n"/>
      <c r="G6" s="194" t="n"/>
      <c r="H6" s="194" t="n"/>
      <c r="I6" s="194" t="n"/>
      <c r="J6" s="194" t="n"/>
      <c r="K6" s="194" t="n"/>
      <c r="L6" s="194" t="n"/>
      <c r="M6" s="194" t="n"/>
      <c r="N6" s="194" t="n"/>
    </row>
    <row r="7" ht="12" customHeight="1" s="1">
      <c r="A7" s="194" t="n"/>
      <c r="B7" s="194" t="n"/>
      <c r="C7" s="194" t="n"/>
      <c r="D7" s="194" t="n"/>
      <c r="E7" s="194" t="n"/>
      <c r="F7" s="194" t="n"/>
      <c r="G7" s="194" t="n"/>
      <c r="H7" s="194" t="n"/>
      <c r="I7" s="194" t="n"/>
      <c r="J7" s="194" t="n"/>
      <c r="K7" s="194" t="n"/>
      <c r="L7" s="194" t="n"/>
      <c r="M7" s="194" t="n"/>
      <c r="N7" s="194" t="n"/>
    </row>
    <row r="8" ht="12" customHeight="1" s="1">
      <c r="A8" s="194" t="n"/>
      <c r="B8" s="194" t="n"/>
      <c r="C8" s="194" t="n"/>
      <c r="D8" s="194" t="n"/>
      <c r="E8" s="194" t="n"/>
      <c r="F8" s="194" t="n"/>
      <c r="G8" s="194" t="n"/>
      <c r="H8" s="194" t="n"/>
      <c r="I8" s="194" t="n"/>
      <c r="J8" s="194" t="n"/>
      <c r="K8" s="194" t="n"/>
      <c r="L8" s="194" t="n"/>
      <c r="M8" s="194" t="n"/>
      <c r="N8" s="194" t="n"/>
    </row>
    <row r="9" ht="12" customHeight="1" s="1">
      <c r="A9" s="194" t="n"/>
      <c r="B9" s="194" t="n"/>
      <c r="C9" s="194" t="n"/>
      <c r="D9" s="194" t="n"/>
      <c r="E9" s="194" t="n"/>
      <c r="F9" s="194" t="n"/>
      <c r="G9" s="194" t="n"/>
      <c r="H9" s="194" t="n"/>
      <c r="I9" s="194" t="n"/>
      <c r="J9" s="194" t="n"/>
      <c r="K9" s="194" t="n"/>
      <c r="L9" s="194" t="n"/>
      <c r="M9" s="194" t="n"/>
      <c r="N9" s="194" t="n"/>
    </row>
    <row r="10" ht="12" customHeight="1" s="1">
      <c r="A10" s="194" t="n"/>
      <c r="B10" s="194" t="n"/>
      <c r="C10" s="194" t="n"/>
      <c r="D10" s="194" t="n"/>
      <c r="E10" s="194" t="n"/>
      <c r="F10" s="194" t="n"/>
      <c r="G10" s="194" t="n"/>
      <c r="H10" s="194" t="n"/>
      <c r="I10" s="194" t="n"/>
      <c r="J10" s="194" t="n"/>
      <c r="K10" s="194" t="n"/>
      <c r="L10" s="194" t="n"/>
      <c r="M10" s="194" t="n"/>
      <c r="N10" s="194" t="n"/>
    </row>
    <row r="11" ht="12" customHeight="1" s="1">
      <c r="A11" s="194" t="n"/>
      <c r="B11" s="194" t="n"/>
      <c r="C11" s="194" t="n"/>
      <c r="D11" s="194" t="n"/>
      <c r="E11" s="194" t="n"/>
      <c r="F11" s="194" t="n"/>
      <c r="G11" s="194" t="n"/>
      <c r="H11" s="194" t="n"/>
      <c r="I11" s="194" t="n"/>
      <c r="J11" s="194" t="n"/>
      <c r="K11" s="194" t="n"/>
      <c r="L11" s="194" t="n"/>
      <c r="M11" s="194" t="n"/>
      <c r="N11" s="194" t="n"/>
    </row>
    <row r="12" ht="12" customHeight="1" s="1">
      <c r="A12" s="194" t="n"/>
      <c r="B12" s="194" t="n"/>
      <c r="C12" s="194" t="n"/>
      <c r="D12" s="194" t="n"/>
      <c r="E12" s="194" t="n"/>
      <c r="F12" s="194" t="n"/>
      <c r="G12" s="194" t="n"/>
      <c r="H12" s="194" t="n"/>
      <c r="I12" s="194" t="n"/>
      <c r="J12" s="194" t="n"/>
      <c r="K12" s="194" t="n"/>
      <c r="L12" s="194" t="n"/>
      <c r="M12" s="194" t="n"/>
      <c r="N12" s="194" t="n"/>
    </row>
    <row r="13" ht="12" customHeight="1" s="1">
      <c r="A13" s="194" t="n"/>
      <c r="B13" s="194" t="n"/>
      <c r="C13" s="194" t="n"/>
      <c r="D13" s="194" t="n"/>
      <c r="E13" s="194" t="n"/>
      <c r="F13" s="194" t="n"/>
      <c r="G13" s="194" t="n"/>
      <c r="H13" s="194" t="n"/>
      <c r="I13" s="194" t="n"/>
      <c r="J13" s="194" t="n"/>
      <c r="K13" s="194" t="n"/>
      <c r="L13" s="194" t="n"/>
      <c r="M13" s="194" t="n"/>
      <c r="N13" s="194" t="n"/>
    </row>
    <row r="14" ht="12" customHeight="1" s="1">
      <c r="A14" s="194" t="n"/>
      <c r="B14" s="194" t="n"/>
      <c r="C14" s="194" t="n"/>
      <c r="D14" s="194" t="n"/>
      <c r="E14" s="194" t="n"/>
      <c r="F14" s="194" t="n"/>
      <c r="G14" s="194" t="n"/>
      <c r="H14" s="194" t="n"/>
      <c r="I14" s="194" t="n"/>
      <c r="J14" s="194" t="n"/>
      <c r="K14" s="194" t="n"/>
      <c r="L14" s="194" t="n"/>
      <c r="M14" s="194" t="n"/>
      <c r="N14" s="194" t="n"/>
    </row>
    <row r="15" ht="12" customHeight="1" s="1">
      <c r="A15" s="194" t="n"/>
      <c r="B15" s="194" t="n"/>
      <c r="C15" s="194" t="n"/>
      <c r="D15" s="194" t="n"/>
      <c r="E15" s="194" t="n"/>
      <c r="F15" s="194" t="n"/>
      <c r="G15" s="194" t="n"/>
      <c r="H15" s="194" t="n"/>
      <c r="I15" s="194" t="n"/>
      <c r="J15" s="194" t="n"/>
      <c r="K15" s="194" t="n"/>
      <c r="L15" s="194" t="n"/>
      <c r="M15" s="194" t="n"/>
      <c r="N15" s="194" t="n"/>
    </row>
    <row r="16" ht="12" customHeight="1" s="1">
      <c r="A16" s="194" t="n"/>
      <c r="B16" s="194" t="n"/>
      <c r="C16" s="194" t="n"/>
      <c r="D16" s="194" t="n"/>
      <c r="E16" s="194" t="n"/>
      <c r="F16" s="194" t="n"/>
      <c r="G16" s="194" t="n"/>
      <c r="H16" s="194" t="n"/>
      <c r="I16" s="194" t="n"/>
      <c r="J16" s="194" t="n"/>
      <c r="K16" s="194" t="n"/>
      <c r="L16" s="194" t="n"/>
      <c r="M16" s="194" t="n"/>
      <c r="N16" s="194" t="n"/>
    </row>
    <row r="17" ht="12" customHeight="1" s="1">
      <c r="A17" s="194" t="n"/>
      <c r="B17" s="194" t="n"/>
      <c r="C17" s="194" t="n"/>
      <c r="D17" s="194" t="n"/>
      <c r="E17" s="194" t="n"/>
      <c r="F17" s="194" t="n"/>
      <c r="G17" s="194" t="n"/>
      <c r="H17" s="194" t="n"/>
      <c r="I17" s="194" t="n"/>
      <c r="J17" s="194" t="n"/>
      <c r="K17" s="194" t="n"/>
      <c r="L17" s="194" t="n"/>
      <c r="M17" s="194" t="n"/>
      <c r="N17" s="194" t="n"/>
    </row>
    <row r="18" ht="12" customHeight="1" s="1">
      <c r="A18" s="194" t="n"/>
      <c r="B18" s="194" t="n"/>
      <c r="C18" s="194" t="n"/>
      <c r="D18" s="194" t="n"/>
      <c r="E18" s="194" t="n"/>
      <c r="F18" s="194" t="n"/>
      <c r="G18" s="194" t="n"/>
      <c r="H18" s="194" t="n"/>
      <c r="I18" s="194" t="n"/>
      <c r="J18" s="194" t="n"/>
      <c r="K18" s="194" t="n"/>
      <c r="L18" s="194" t="n"/>
      <c r="M18" s="194" t="n"/>
      <c r="N18" s="194" t="n"/>
    </row>
    <row r="19" ht="12" customHeight="1" s="1">
      <c r="A19" s="194" t="n"/>
      <c r="B19" s="194" t="n"/>
      <c r="C19" s="194" t="n"/>
      <c r="D19" s="194" t="n"/>
      <c r="E19" s="194" t="n"/>
      <c r="F19" s="194" t="n"/>
      <c r="G19" s="194" t="n"/>
      <c r="H19" s="194" t="n"/>
      <c r="I19" s="194" t="n"/>
      <c r="J19" s="194" t="n"/>
      <c r="K19" s="194" t="n"/>
      <c r="L19" s="194" t="n"/>
      <c r="M19" s="194" t="n"/>
      <c r="N19" s="194" t="n"/>
    </row>
    <row r="20" ht="12" customHeight="1" s="1">
      <c r="A20" s="194" t="n"/>
      <c r="B20" s="194" t="n"/>
      <c r="C20" s="194" t="n"/>
      <c r="D20" s="194" t="n"/>
      <c r="E20" s="194" t="n"/>
      <c r="F20" s="194" t="n"/>
      <c r="G20" s="194" t="n"/>
      <c r="H20" s="194" t="n"/>
      <c r="I20" s="194" t="n"/>
      <c r="J20" s="194" t="n"/>
      <c r="K20" s="194" t="n"/>
      <c r="L20" s="194" t="n"/>
      <c r="M20" s="194" t="n"/>
      <c r="N20" s="194" t="n"/>
    </row>
    <row r="21" ht="12" customHeight="1" s="1">
      <c r="A21" s="194" t="n"/>
      <c r="B21" s="194" t="n"/>
      <c r="C21" s="194" t="n"/>
      <c r="D21" s="194" t="n"/>
      <c r="E21" s="194" t="n"/>
      <c r="F21" s="194" t="n"/>
      <c r="G21" s="194" t="n"/>
      <c r="H21" s="194" t="n"/>
      <c r="I21" s="194" t="n"/>
      <c r="J21" s="194" t="n"/>
      <c r="K21" s="194" t="n"/>
      <c r="L21" s="194" t="n"/>
      <c r="M21" s="194" t="n"/>
      <c r="N21" s="194" t="n"/>
    </row>
    <row r="22" ht="12" customHeight="1" s="1">
      <c r="A22" s="194" t="n"/>
      <c r="B22" s="194" t="n"/>
      <c r="C22" s="194" t="n"/>
      <c r="D22" s="194" t="n"/>
      <c r="E22" s="194" t="n"/>
      <c r="F22" s="194" t="n"/>
      <c r="G22" s="194" t="n"/>
      <c r="H22" s="194" t="n"/>
      <c r="I22" s="194" t="n"/>
      <c r="J22" s="194" t="n"/>
      <c r="K22" s="194" t="n"/>
      <c r="L22" s="194" t="n"/>
      <c r="M22" s="194" t="n"/>
      <c r="N22" s="194" t="n"/>
    </row>
    <row r="23" ht="12" customHeight="1" s="1">
      <c r="A23" s="194" t="n"/>
      <c r="B23" s="194" t="n"/>
      <c r="C23" s="194" t="n"/>
      <c r="D23" s="194" t="n"/>
      <c r="E23" s="194" t="n"/>
      <c r="F23" s="194" t="n"/>
      <c r="G23" s="194" t="n"/>
      <c r="H23" s="194" t="n"/>
      <c r="I23" s="194" t="n"/>
      <c r="J23" s="194" t="n"/>
      <c r="K23" s="194" t="n"/>
      <c r="L23" s="194" t="n"/>
      <c r="M23" s="194" t="n"/>
      <c r="N23" s="194" t="n"/>
    </row>
    <row r="24" ht="12" customHeight="1" s="1">
      <c r="A24" s="194" t="n"/>
      <c r="B24" s="194" t="n"/>
      <c r="C24" s="194" t="n"/>
      <c r="D24" s="194" t="n"/>
      <c r="E24" s="194" t="n"/>
      <c r="F24" s="194" t="n"/>
      <c r="G24" s="194" t="n"/>
      <c r="H24" s="194" t="n"/>
      <c r="I24" s="194" t="n"/>
      <c r="J24" s="194" t="n"/>
      <c r="K24" s="194" t="n"/>
      <c r="L24" s="194" t="n"/>
      <c r="M24" s="194" t="n"/>
      <c r="N24" s="194" t="n"/>
    </row>
    <row r="25" ht="12" customHeight="1" s="1">
      <c r="A25" s="194" t="n"/>
      <c r="B25" s="194" t="n"/>
      <c r="C25" s="194" t="n"/>
      <c r="D25" s="194" t="n"/>
      <c r="E25" s="194" t="n"/>
      <c r="F25" s="194" t="n"/>
      <c r="G25" s="194" t="n"/>
      <c r="H25" s="194" t="n"/>
      <c r="I25" s="194" t="n"/>
      <c r="J25" s="194" t="n"/>
      <c r="K25" s="194" t="n"/>
      <c r="L25" s="194" t="n"/>
      <c r="M25" s="194" t="n"/>
      <c r="N25" s="194" t="n"/>
    </row>
    <row r="26" ht="12" customHeight="1" s="1">
      <c r="A26" s="194" t="n"/>
      <c r="B26" s="194" t="n"/>
      <c r="C26" s="194" t="n"/>
      <c r="D26" s="194" t="n"/>
      <c r="E26" s="194" t="n"/>
      <c r="F26" s="194" t="n"/>
      <c r="G26" s="194" t="n"/>
      <c r="H26" s="194" t="n"/>
      <c r="I26" s="194" t="n"/>
      <c r="J26" s="194" t="n"/>
      <c r="K26" s="194" t="n"/>
      <c r="L26" s="194" t="n"/>
      <c r="M26" s="194" t="n"/>
      <c r="N26" s="194" t="n"/>
    </row>
    <row r="27" ht="12" customHeight="1" s="1">
      <c r="A27" s="194" t="n"/>
      <c r="B27" s="194" t="n"/>
      <c r="C27" s="194" t="n"/>
      <c r="D27" s="194" t="n"/>
      <c r="E27" s="194" t="n"/>
      <c r="F27" s="194" t="n"/>
      <c r="G27" s="194" t="n"/>
      <c r="H27" s="194" t="n"/>
      <c r="I27" s="194" t="n"/>
      <c r="J27" s="194" t="n"/>
      <c r="K27" s="194" t="n"/>
      <c r="L27" s="194" t="n"/>
      <c r="M27" s="194" t="n"/>
      <c r="N27" s="194" t="n"/>
    </row>
    <row r="28" ht="12" customHeight="1" s="1">
      <c r="A28" s="194" t="n"/>
      <c r="B28" s="194" t="n"/>
      <c r="C28" s="194" t="n"/>
      <c r="D28" s="194" t="n"/>
      <c r="E28" s="194" t="n"/>
      <c r="F28" s="194" t="n"/>
      <c r="G28" s="194" t="n"/>
      <c r="H28" s="194" t="n"/>
      <c r="I28" s="194" t="n"/>
      <c r="J28" s="194" t="n"/>
      <c r="K28" s="194" t="n"/>
      <c r="L28" s="194" t="n"/>
      <c r="M28" s="194" t="n"/>
      <c r="N28" s="194" t="n"/>
    </row>
    <row r="29" ht="12" customHeight="1" s="1">
      <c r="A29" s="194" t="n"/>
      <c r="B29" s="194" t="n"/>
      <c r="C29" s="194" t="n"/>
      <c r="D29" s="194" t="n"/>
      <c r="E29" s="194" t="n"/>
      <c r="F29" s="194" t="n"/>
      <c r="G29" s="194" t="n"/>
      <c r="H29" s="194" t="n"/>
      <c r="I29" s="194" t="n"/>
      <c r="J29" s="194" t="n"/>
      <c r="K29" s="194" t="n"/>
      <c r="L29" s="194" t="n"/>
      <c r="M29" s="194" t="n"/>
      <c r="N29" s="194" t="n"/>
    </row>
    <row r="30" ht="12" customHeight="1" s="1">
      <c r="A30" s="194" t="n"/>
      <c r="B30" s="194" t="n"/>
      <c r="C30" s="194" t="n"/>
      <c r="D30" s="194" t="n"/>
      <c r="E30" s="194" t="n"/>
      <c r="F30" s="194" t="n"/>
      <c r="G30" s="194" t="n"/>
      <c r="H30" s="194" t="n"/>
      <c r="I30" s="194" t="n"/>
      <c r="J30" s="194" t="n"/>
      <c r="K30" s="194" t="n"/>
      <c r="L30" s="194" t="n"/>
      <c r="M30" s="194" t="n"/>
      <c r="N30" s="194" t="n"/>
    </row>
    <row r="31" ht="12" customHeight="1" s="1">
      <c r="A31" s="194" t="n"/>
      <c r="B31" s="194" t="n"/>
      <c r="C31" s="194" t="n"/>
      <c r="D31" s="194" t="n"/>
      <c r="E31" s="194" t="n"/>
      <c r="F31" s="194" t="n"/>
      <c r="G31" s="194" t="n"/>
      <c r="H31" s="194" t="n"/>
      <c r="I31" s="194" t="n"/>
      <c r="J31" s="194" t="n"/>
      <c r="K31" s="194" t="n"/>
      <c r="L31" s="194" t="n"/>
      <c r="M31" s="194" t="n"/>
      <c r="N31" s="194" t="n"/>
    </row>
    <row r="32" ht="12" customHeight="1" s="1">
      <c r="A32" s="194" t="n"/>
      <c r="B32" s="194" t="n"/>
      <c r="C32" s="194" t="n"/>
      <c r="D32" s="194" t="n"/>
      <c r="E32" s="194" t="n"/>
      <c r="F32" s="194" t="n"/>
      <c r="G32" s="194" t="n"/>
      <c r="H32" s="194" t="n"/>
      <c r="I32" s="194" t="n"/>
      <c r="J32" s="194" t="n"/>
      <c r="K32" s="194" t="n"/>
      <c r="L32" s="194" t="n"/>
      <c r="M32" s="194" t="n"/>
      <c r="N32" s="194" t="n"/>
    </row>
    <row r="33" ht="12" customHeight="1" s="1">
      <c r="A33" s="194" t="n"/>
      <c r="B33" s="194" t="n"/>
      <c r="C33" s="194" t="n"/>
      <c r="D33" s="194" t="n"/>
      <c r="E33" s="194" t="n"/>
      <c r="F33" s="194" t="n"/>
      <c r="G33" s="194" t="n"/>
      <c r="H33" s="194" t="n"/>
      <c r="I33" s="194" t="n"/>
      <c r="J33" s="194" t="n"/>
      <c r="K33" s="194" t="n"/>
      <c r="L33" s="194" t="n"/>
      <c r="M33" s="194" t="n"/>
      <c r="N33" s="194" t="n"/>
    </row>
    <row r="34" ht="12" customHeight="1" s="1">
      <c r="A34" s="194" t="n"/>
      <c r="B34" s="194" t="n"/>
      <c r="C34" s="194" t="n"/>
      <c r="D34" s="194" t="n"/>
      <c r="E34" s="194" t="n"/>
      <c r="F34" s="194" t="n"/>
      <c r="G34" s="194" t="n"/>
      <c r="H34" s="194" t="n"/>
      <c r="I34" s="194" t="n"/>
      <c r="J34" s="194" t="n"/>
      <c r="K34" s="194" t="n"/>
      <c r="L34" s="194" t="n"/>
      <c r="M34" s="194" t="n"/>
      <c r="N34" s="194" t="n"/>
    </row>
    <row r="35" ht="12" customHeight="1" s="1">
      <c r="A35" s="194" t="n"/>
      <c r="B35" s="194" t="n"/>
      <c r="C35" s="194" t="n"/>
      <c r="D35" s="194" t="n"/>
      <c r="E35" s="194" t="n"/>
      <c r="F35" s="194" t="n"/>
      <c r="G35" s="194" t="n"/>
      <c r="H35" s="194" t="n"/>
      <c r="I35" s="194" t="n"/>
      <c r="J35" s="194" t="n"/>
      <c r="K35" s="194" t="n"/>
      <c r="L35" s="194" t="n"/>
      <c r="M35" s="194" t="n"/>
      <c r="N35" s="194" t="n"/>
    </row>
    <row r="36" ht="12" customHeight="1" s="1">
      <c r="A36" s="194" t="n"/>
      <c r="B36" s="194" t="n"/>
      <c r="C36" s="194" t="n"/>
      <c r="D36" s="194" t="n"/>
      <c r="E36" s="194" t="n"/>
      <c r="F36" s="194" t="n"/>
      <c r="G36" s="194" t="n"/>
      <c r="H36" s="194" t="n"/>
      <c r="I36" s="194" t="n"/>
      <c r="J36" s="194" t="n"/>
      <c r="K36" s="194" t="n"/>
      <c r="L36" s="194" t="n"/>
      <c r="M36" s="194" t="n"/>
      <c r="N36" s="194" t="n"/>
    </row>
    <row r="37" ht="12" customHeight="1" s="1">
      <c r="A37" s="194" t="n"/>
      <c r="B37" s="194" t="n"/>
      <c r="C37" s="194" t="n"/>
      <c r="D37" s="194" t="n"/>
      <c r="E37" s="194" t="n"/>
      <c r="F37" s="194" t="n"/>
      <c r="G37" s="194" t="n"/>
      <c r="H37" s="194" t="n"/>
      <c r="I37" s="194" t="n"/>
      <c r="J37" s="194" t="n"/>
      <c r="K37" s="194" t="n"/>
      <c r="L37" s="194" t="n"/>
      <c r="M37" s="194" t="n"/>
      <c r="N37" s="194" t="n"/>
    </row>
    <row r="38" ht="12" customHeight="1" s="1">
      <c r="A38" s="194" t="n"/>
      <c r="B38" s="194" t="n"/>
      <c r="C38" s="194" t="n"/>
      <c r="D38" s="194" t="n"/>
      <c r="E38" s="194" t="n"/>
      <c r="F38" s="194" t="n"/>
      <c r="G38" s="194" t="n"/>
      <c r="H38" s="194" t="n"/>
      <c r="I38" s="194" t="n"/>
      <c r="J38" s="194" t="n"/>
      <c r="K38" s="194" t="n"/>
      <c r="L38" s="194" t="n"/>
      <c r="M38" s="194" t="n"/>
      <c r="N38" s="194" t="n"/>
    </row>
    <row r="39" ht="12" customHeight="1" s="1">
      <c r="A39" s="194" t="n"/>
      <c r="B39" s="194" t="n"/>
      <c r="C39" s="194" t="n"/>
      <c r="D39" s="194" t="n"/>
      <c r="E39" s="194" t="n"/>
      <c r="F39" s="194" t="n"/>
      <c r="G39" s="194" t="n"/>
      <c r="H39" s="194" t="n"/>
      <c r="I39" s="194" t="n"/>
      <c r="J39" s="194" t="n"/>
      <c r="K39" s="194" t="n"/>
      <c r="L39" s="194" t="n"/>
      <c r="M39" s="194" t="n"/>
      <c r="N39" s="194" t="n"/>
    </row>
    <row r="40" ht="12" customHeight="1" s="1">
      <c r="A40" s="194" t="n"/>
      <c r="B40" s="194" t="n"/>
      <c r="C40" s="194" t="n"/>
      <c r="D40" s="194" t="n"/>
      <c r="E40" s="194" t="n"/>
      <c r="F40" s="194" t="n"/>
      <c r="G40" s="194" t="n"/>
      <c r="H40" s="194" t="n"/>
      <c r="I40" s="194" t="n"/>
      <c r="J40" s="194" t="n"/>
      <c r="K40" s="194" t="n"/>
      <c r="L40" s="194" t="n"/>
      <c r="M40" s="194" t="n"/>
      <c r="N40" s="194" t="n"/>
    </row>
    <row r="41" ht="12" customHeight="1" s="1">
      <c r="A41" s="194" t="n"/>
      <c r="B41" s="194" t="n"/>
      <c r="C41" s="194" t="n"/>
      <c r="D41" s="194" t="n"/>
      <c r="E41" s="194" t="n"/>
      <c r="F41" s="194" t="n"/>
      <c r="G41" s="194" t="n"/>
      <c r="H41" s="194" t="n"/>
      <c r="I41" s="194" t="n"/>
      <c r="J41" s="194" t="n"/>
      <c r="K41" s="194" t="n"/>
      <c r="L41" s="194" t="n"/>
      <c r="M41" s="194" t="n"/>
      <c r="N41" s="194" t="n"/>
    </row>
    <row r="42" ht="12" customHeight="1" s="1">
      <c r="A42" s="194" t="n"/>
      <c r="B42" s="194" t="n"/>
      <c r="C42" s="194" t="n"/>
      <c r="D42" s="194" t="n"/>
      <c r="E42" s="194" t="n"/>
      <c r="F42" s="194" t="n"/>
      <c r="G42" s="194" t="n"/>
      <c r="H42" s="194" t="n"/>
      <c r="I42" s="194" t="n"/>
      <c r="J42" s="194" t="n"/>
      <c r="K42" s="194" t="n"/>
      <c r="L42" s="194" t="n"/>
      <c r="M42" s="194" t="n"/>
      <c r="N42" s="194" t="n"/>
    </row>
    <row r="43" ht="12" customHeight="1" s="1">
      <c r="A43" s="194" t="n"/>
      <c r="B43" s="194" t="n"/>
      <c r="C43" s="194" t="n"/>
      <c r="D43" s="194" t="n"/>
      <c r="E43" s="194" t="n"/>
      <c r="F43" s="194" t="n"/>
      <c r="G43" s="194" t="n"/>
      <c r="H43" s="194" t="n"/>
      <c r="I43" s="194" t="n"/>
      <c r="J43" s="194" t="n"/>
      <c r="K43" s="194" t="n"/>
      <c r="L43" s="194" t="n"/>
      <c r="M43" s="194" t="n"/>
      <c r="N43" s="194" t="n"/>
    </row>
    <row r="44" ht="12" customHeight="1" s="1">
      <c r="A44" s="194" t="n"/>
      <c r="B44" s="194" t="n"/>
      <c r="C44" s="194" t="n"/>
      <c r="D44" s="194" t="n"/>
      <c r="E44" s="194" t="n"/>
      <c r="F44" s="194" t="n"/>
      <c r="G44" s="194" t="n"/>
      <c r="H44" s="194" t="n"/>
      <c r="I44" s="194" t="n"/>
      <c r="J44" s="194" t="n"/>
      <c r="K44" s="194" t="n"/>
      <c r="L44" s="194" t="n"/>
      <c r="M44" s="194" t="n"/>
      <c r="N44" s="194" t="n"/>
    </row>
    <row r="45" ht="12" customHeight="1" s="1">
      <c r="A45" s="194" t="n"/>
      <c r="B45" s="194" t="n"/>
      <c r="C45" s="194" t="n"/>
      <c r="D45" s="194" t="n"/>
      <c r="E45" s="194" t="n"/>
      <c r="F45" s="194" t="n"/>
      <c r="G45" s="194" t="n"/>
      <c r="H45" s="194" t="n"/>
      <c r="I45" s="194" t="n"/>
      <c r="J45" s="194" t="n"/>
      <c r="K45" s="194" t="n"/>
      <c r="L45" s="194" t="n"/>
      <c r="M45" s="194" t="n"/>
      <c r="N45" s="194" t="n"/>
    </row>
    <row r="46" ht="12" customHeight="1" s="1">
      <c r="A46" s="194" t="n"/>
      <c r="B46" s="194" t="n"/>
      <c r="C46" s="194" t="n"/>
      <c r="D46" s="194" t="n"/>
      <c r="E46" s="194" t="n"/>
      <c r="F46" s="194" t="n"/>
      <c r="G46" s="194" t="n"/>
      <c r="H46" s="194" t="n"/>
      <c r="I46" s="194" t="n"/>
      <c r="J46" s="194" t="n"/>
      <c r="K46" s="194" t="n"/>
      <c r="L46" s="194" t="n"/>
      <c r="M46" s="194" t="n"/>
      <c r="N46" s="194" t="n"/>
    </row>
    <row r="47" ht="12" customHeight="1" s="1">
      <c r="A47" s="194" t="n"/>
      <c r="B47" s="194" t="n"/>
      <c r="C47" s="194" t="n"/>
      <c r="D47" s="194" t="n"/>
      <c r="E47" s="194" t="n"/>
      <c r="F47" s="194" t="n"/>
      <c r="G47" s="194" t="n"/>
      <c r="H47" s="194" t="n"/>
      <c r="I47" s="194" t="n"/>
      <c r="J47" s="194" t="n"/>
      <c r="K47" s="194" t="n"/>
      <c r="L47" s="194" t="n"/>
      <c r="M47" s="194" t="n"/>
      <c r="N47" s="194" t="n"/>
    </row>
    <row r="48" ht="12" customHeight="1" s="1">
      <c r="A48" s="194" t="n"/>
      <c r="B48" s="194" t="n"/>
      <c r="C48" s="194" t="n"/>
      <c r="D48" s="194" t="n"/>
      <c r="E48" s="194" t="n"/>
      <c r="F48" s="194" t="n"/>
      <c r="G48" s="194" t="n"/>
      <c r="H48" s="194" t="n"/>
      <c r="I48" s="194" t="n"/>
      <c r="J48" s="194" t="n"/>
      <c r="K48" s="194" t="n"/>
      <c r="L48" s="194" t="n"/>
      <c r="M48" s="194" t="n"/>
      <c r="N48" s="194" t="n"/>
    </row>
    <row r="49" ht="12" customHeight="1" s="1">
      <c r="A49" s="194" t="n"/>
      <c r="B49" s="194" t="n"/>
      <c r="C49" s="194" t="n"/>
      <c r="D49" s="194" t="n"/>
      <c r="E49" s="194" t="n"/>
      <c r="F49" s="194" t="n"/>
      <c r="G49" s="194" t="n"/>
      <c r="H49" s="194" t="n"/>
      <c r="I49" s="194" t="n"/>
      <c r="J49" s="194" t="n"/>
      <c r="K49" s="194" t="n"/>
      <c r="L49" s="194" t="n"/>
      <c r="M49" s="194" t="n"/>
      <c r="N49" s="194" t="n"/>
    </row>
    <row r="50" ht="12" customHeight="1" s="1">
      <c r="A50" s="194" t="n"/>
      <c r="B50" s="194" t="n"/>
      <c r="C50" s="194" t="n"/>
      <c r="D50" s="194" t="n"/>
      <c r="E50" s="194" t="n"/>
      <c r="F50" s="194" t="n"/>
      <c r="G50" s="194" t="n"/>
      <c r="H50" s="194" t="n"/>
      <c r="I50" s="194" t="n"/>
      <c r="J50" s="194" t="n"/>
      <c r="K50" s="194" t="n"/>
      <c r="L50" s="194" t="n"/>
      <c r="M50" s="194" t="n"/>
      <c r="N50" s="194" t="n"/>
    </row>
    <row r="51" ht="12" customHeight="1" s="1">
      <c r="A51" s="194" t="n"/>
      <c r="B51" s="194" t="n"/>
      <c r="C51" s="194" t="n"/>
      <c r="D51" s="194" t="n"/>
      <c r="E51" s="194" t="n"/>
      <c r="F51" s="194" t="n"/>
      <c r="G51" s="194" t="n"/>
      <c r="H51" s="194" t="n"/>
      <c r="I51" s="194" t="n"/>
      <c r="J51" s="194" t="n"/>
      <c r="K51" s="194" t="n"/>
      <c r="L51" s="194" t="n"/>
      <c r="M51" s="194" t="n"/>
      <c r="N51" s="194" t="n"/>
    </row>
    <row r="52" ht="12" customHeight="1" s="1">
      <c r="A52" s="194" t="n"/>
      <c r="B52" s="194" t="n"/>
      <c r="C52" s="194" t="n"/>
      <c r="D52" s="194" t="n"/>
      <c r="E52" s="194" t="n"/>
      <c r="F52" s="194" t="n"/>
      <c r="G52" s="194" t="n"/>
      <c r="H52" s="194" t="n"/>
      <c r="I52" s="194" t="n"/>
      <c r="J52" s="194" t="n"/>
      <c r="K52" s="194" t="n"/>
      <c r="L52" s="194" t="n"/>
      <c r="M52" s="194" t="n"/>
      <c r="N52" s="194" t="n"/>
    </row>
    <row r="53" ht="12" customHeight="1" s="1">
      <c r="A53" s="194" t="n"/>
      <c r="B53" s="194" t="n"/>
      <c r="C53" s="194" t="n"/>
      <c r="D53" s="194" t="n"/>
      <c r="E53" s="194" t="n"/>
      <c r="F53" s="194" t="n"/>
      <c r="G53" s="194" t="n"/>
      <c r="H53" s="194" t="n"/>
      <c r="I53" s="194" t="n"/>
      <c r="J53" s="194" t="n"/>
      <c r="K53" s="194" t="n"/>
      <c r="L53" s="194" t="n"/>
      <c r="M53" s="194" t="n"/>
      <c r="N53" s="194" t="n"/>
    </row>
    <row r="54" ht="12" customHeight="1" s="1">
      <c r="A54" s="194" t="n"/>
      <c r="B54" s="194" t="n"/>
      <c r="C54" s="194" t="n"/>
      <c r="D54" s="194" t="n"/>
      <c r="E54" s="194" t="n"/>
      <c r="F54" s="194" t="n"/>
      <c r="G54" s="194" t="n"/>
      <c r="H54" s="194" t="n"/>
      <c r="I54" s="194" t="n"/>
      <c r="J54" s="194" t="n"/>
      <c r="K54" s="194" t="n"/>
      <c r="L54" s="194" t="n"/>
      <c r="M54" s="194" t="n"/>
      <c r="N54" s="194" t="n"/>
    </row>
    <row r="55" ht="12" customHeight="1" s="1">
      <c r="A55" s="194" t="n"/>
      <c r="B55" s="194" t="n"/>
      <c r="C55" s="194" t="n"/>
      <c r="D55" s="194" t="n"/>
      <c r="E55" s="194" t="n"/>
      <c r="F55" s="194" t="n"/>
      <c r="G55" s="194" t="n"/>
      <c r="H55" s="194" t="n"/>
      <c r="I55" s="194" t="n"/>
      <c r="J55" s="194" t="n"/>
      <c r="K55" s="194" t="n"/>
      <c r="L55" s="194" t="n"/>
      <c r="M55" s="194" t="n"/>
      <c r="N55" s="194" t="n"/>
    </row>
    <row r="56" ht="12" customHeight="1" s="1">
      <c r="A56" s="194" t="n"/>
      <c r="B56" s="194" t="n"/>
      <c r="C56" s="194" t="n"/>
      <c r="D56" s="194" t="n"/>
      <c r="E56" s="194" t="n"/>
      <c r="F56" s="194" t="n"/>
      <c r="G56" s="194" t="n"/>
      <c r="H56" s="194" t="n"/>
      <c r="I56" s="194" t="n"/>
      <c r="J56" s="194" t="n"/>
      <c r="K56" s="194" t="n"/>
      <c r="L56" s="194" t="n"/>
      <c r="M56" s="194" t="n"/>
      <c r="N56" s="194" t="n"/>
    </row>
    <row r="57" ht="12" customHeight="1" s="1">
      <c r="A57" s="194" t="n"/>
      <c r="B57" s="194" t="n"/>
      <c r="C57" s="194" t="n"/>
      <c r="D57" s="194" t="n"/>
      <c r="E57" s="194" t="n"/>
      <c r="F57" s="194" t="n"/>
      <c r="G57" s="194" t="n"/>
      <c r="H57" s="194" t="n"/>
      <c r="I57" s="194" t="n"/>
      <c r="J57" s="194" t="n"/>
      <c r="K57" s="194" t="n"/>
      <c r="L57" s="194" t="n"/>
      <c r="M57" s="194" t="n"/>
      <c r="N57" s="194" t="n"/>
    </row>
    <row r="58" ht="12" customHeight="1" s="1">
      <c r="A58" s="194" t="n"/>
      <c r="B58" s="194" t="n"/>
      <c r="C58" s="194" t="n"/>
      <c r="D58" s="194" t="n"/>
      <c r="E58" s="194" t="n"/>
      <c r="F58" s="194" t="n"/>
      <c r="G58" s="194" t="n"/>
      <c r="H58" s="194" t="n"/>
      <c r="I58" s="194" t="n"/>
      <c r="J58" s="194" t="n"/>
      <c r="K58" s="194" t="n"/>
      <c r="L58" s="194" t="n"/>
      <c r="M58" s="194" t="n"/>
      <c r="N58" s="194" t="n"/>
    </row>
    <row r="59" ht="12.75" customHeight="1" s="1">
      <c r="A59" s="186" t="inlineStr">
        <is>
          <t>PROGRAM NAME</t>
        </is>
      </c>
      <c r="B59" s="194" t="n"/>
      <c r="C59" s="273" t="inlineStr">
        <is>
          <t>COMPUTER SCIEDNCE AND ENGINEERING</t>
        </is>
      </c>
      <c r="D59" s="212" t="n"/>
      <c r="E59" s="212" t="n"/>
      <c r="F59" s="212" t="n"/>
      <c r="G59" s="212" t="n"/>
      <c r="H59" s="212" t="n"/>
      <c r="I59" s="213" t="n"/>
      <c r="J59" s="192" t="n"/>
      <c r="K59" s="192" t="n"/>
      <c r="L59" s="192" t="n"/>
      <c r="M59" s="192" t="n"/>
      <c r="N59" s="192" t="n"/>
    </row>
    <row r="60" ht="12" customHeight="1" s="1">
      <c r="A60" s="186" t="inlineStr">
        <is>
          <t>PSO 1</t>
        </is>
      </c>
      <c r="B60" s="194" t="n"/>
      <c r="C60" s="186" t="inlineStr">
        <is>
          <t xml:space="preserve">Ability to understand client requirements and suggest solutions </t>
        </is>
      </c>
      <c r="D60" s="194" t="n"/>
      <c r="E60" s="194" t="n"/>
      <c r="F60" s="194" t="n"/>
      <c r="G60" s="194" t="n"/>
      <c r="H60" s="194" t="n"/>
      <c r="I60" s="194" t="n"/>
      <c r="J60" s="194" t="n"/>
      <c r="K60" s="194" t="n"/>
      <c r="L60" s="194" t="n"/>
      <c r="M60" s="194" t="n"/>
      <c r="N60" s="194" t="n"/>
    </row>
    <row r="61" ht="12" customHeight="1" s="1">
      <c r="A61" s="186" t="inlineStr">
        <is>
          <t>PSO 2</t>
        </is>
      </c>
      <c r="B61" s="194" t="n"/>
      <c r="C61" s="186" t="inlineStr">
        <is>
          <t>Ability to create Software for automation and function</t>
        </is>
      </c>
      <c r="D61" s="194" t="n"/>
      <c r="E61" s="194" t="n"/>
      <c r="F61" s="194" t="n"/>
      <c r="G61" s="194" t="n"/>
      <c r="H61" s="194" t="n"/>
      <c r="I61" s="194" t="n"/>
      <c r="J61" s="194" t="n"/>
      <c r="K61" s="194" t="n"/>
      <c r="L61" s="194" t="n"/>
      <c r="M61" s="194" t="n"/>
      <c r="N61" s="194" t="n"/>
    </row>
    <row r="62" ht="12" customHeight="1" s="1">
      <c r="A62" s="186" t="inlineStr">
        <is>
          <t>PSO 3</t>
        </is>
      </c>
      <c r="B62" s="194" t="n"/>
      <c r="C62" s="186" t="inlineStr">
        <is>
          <t>Ability to utilize Logic &amp; Reasoning Skills</t>
        </is>
      </c>
      <c r="D62" s="194" t="n"/>
      <c r="E62" s="194" t="n"/>
      <c r="F62" s="194" t="n"/>
      <c r="G62" s="194" t="n"/>
      <c r="H62" s="194" t="n"/>
      <c r="I62" s="194" t="n"/>
      <c r="J62" s="194" t="n"/>
      <c r="K62" s="194" t="n"/>
      <c r="L62" s="194" t="n"/>
      <c r="M62" s="194" t="n"/>
      <c r="N62" s="194" t="n"/>
    </row>
  </sheetData>
  <mergeCells count="1">
    <mergeCell ref="C59:I59"/>
  </mergeCells>
  <pageMargins left="0.7" right="0.7" top="0.75" bottom="0.75" header="0" footer="0"/>
  <pageSetup orientation="landscape"/>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2025-08-31T16:00:56Z</dcterms:created>
  <dcterms:modified xsi:type="dcterms:W3CDTF">2025-12-31T14:22:12Z</dcterms:modified>
  <cp:lastModifiedBy>AMBIKHA</cp:lastModifiedBy>
</cp:coreProperties>
</file>